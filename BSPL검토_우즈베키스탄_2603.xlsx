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.EMEA관리팀\2026\1.결산자료\99.분석\3월\"/>
    </mc:Choice>
  </mc:AlternateContent>
  <xr:revisionPtr revIDLastSave="0" documentId="13_ncr:1_{E4898452-A50A-4608-9AF4-619DE3BEBD28}" xr6:coauthVersionLast="47" xr6:coauthVersionMax="47" xr10:uidLastSave="{00000000-0000-0000-0000-000000000000}"/>
  <bookViews>
    <workbookView xWindow="28680" yWindow="-60" windowWidth="29040" windowHeight="15720" activeTab="2" xr2:uid="{268CD8F5-B6C8-4EFC-A195-D56C23E68A19}"/>
  </bookViews>
  <sheets>
    <sheet name="월 비교" sheetId="3" r:id="rId1"/>
    <sheet name="년 비교" sheetId="4" r:id="rId2"/>
    <sheet name="BS" sheetId="1" r:id="rId3"/>
    <sheet name="PL" sheetId="2" r:id="rId4"/>
  </sheets>
  <definedNames>
    <definedName name="_xlnm._FilterDatabase" localSheetId="1" hidden="1">'년 비교'!$C$3:$N$205</definedName>
    <definedName name="_xlnm._FilterDatabase" localSheetId="0" hidden="1">'월 비교'!$C$3:$T$205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5" i="1" l="1"/>
  <c r="Y85" i="1"/>
  <c r="Z84" i="1"/>
  <c r="Y84" i="1"/>
  <c r="Z83" i="1"/>
  <c r="Y83" i="1"/>
  <c r="V85" i="1" l="1"/>
  <c r="X85" i="1" s="1"/>
  <c r="V84" i="1"/>
  <c r="V83" i="1"/>
  <c r="W85" i="1"/>
  <c r="X84" i="1"/>
  <c r="W84" i="1"/>
  <c r="W83" i="1"/>
  <c r="X83" i="1" s="1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L142" i="4"/>
  <c r="M142" i="4" s="1"/>
  <c r="N142" i="4" s="1"/>
  <c r="K142" i="4"/>
  <c r="L74" i="4"/>
  <c r="K74" i="4"/>
  <c r="L43" i="4"/>
  <c r="K43" i="4"/>
  <c r="L36" i="4"/>
  <c r="K36" i="4"/>
  <c r="L19" i="4"/>
  <c r="K19" i="4"/>
  <c r="P142" i="3"/>
  <c r="O142" i="3"/>
  <c r="N142" i="3"/>
  <c r="P74" i="3"/>
  <c r="O74" i="3"/>
  <c r="N74" i="3"/>
  <c r="P43" i="3"/>
  <c r="O43" i="3"/>
  <c r="N43" i="3"/>
  <c r="P36" i="3"/>
  <c r="O36" i="3"/>
  <c r="N36" i="3"/>
  <c r="P19" i="3"/>
  <c r="O19" i="3"/>
  <c r="N19" i="3"/>
  <c r="S142" i="3" l="1"/>
  <c r="T142" i="3" s="1"/>
  <c r="S43" i="3"/>
  <c r="T43" i="3" s="1"/>
  <c r="Q74" i="3"/>
  <c r="R74" i="3" s="1"/>
  <c r="M74" i="4"/>
  <c r="N74" i="4" s="1"/>
  <c r="M43" i="4"/>
  <c r="N43" i="4" s="1"/>
  <c r="M36" i="4"/>
  <c r="N36" i="4" s="1"/>
  <c r="M19" i="4"/>
  <c r="N19" i="4" s="1"/>
  <c r="Q142" i="3"/>
  <c r="R142" i="3" s="1"/>
  <c r="S74" i="3"/>
  <c r="T74" i="3" s="1"/>
  <c r="Q43" i="3"/>
  <c r="R43" i="3" s="1"/>
  <c r="Q36" i="3"/>
  <c r="R36" i="3" s="1"/>
  <c r="S19" i="3"/>
  <c r="T19" i="3" s="1"/>
  <c r="S36" i="3"/>
  <c r="T36" i="3" s="1"/>
  <c r="Q19" i="3"/>
  <c r="R19" i="3" s="1"/>
  <c r="L5" i="4" l="1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7" i="4"/>
  <c r="L38" i="4"/>
  <c r="L39" i="4"/>
  <c r="L40" i="4"/>
  <c r="L41" i="4"/>
  <c r="L42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5" i="4"/>
  <c r="L76" i="4"/>
  <c r="Q19" i="4" s="1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3" i="4"/>
  <c r="L144" i="4"/>
  <c r="L145" i="4"/>
  <c r="L146" i="4"/>
  <c r="L147" i="4"/>
  <c r="L148" i="4"/>
  <c r="L149" i="4"/>
  <c r="L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7" i="4"/>
  <c r="K38" i="4"/>
  <c r="K39" i="4"/>
  <c r="K40" i="4"/>
  <c r="K41" i="4"/>
  <c r="K42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5" i="4"/>
  <c r="K76" i="4"/>
  <c r="P19" i="4" s="1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3" i="4"/>
  <c r="K144" i="4"/>
  <c r="K145" i="4"/>
  <c r="K146" i="4"/>
  <c r="K147" i="4"/>
  <c r="K148" i="4"/>
  <c r="K149" i="4"/>
  <c r="K4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F162" i="4" s="1"/>
  <c r="G162" i="4" s="1"/>
  <c r="E161" i="4"/>
  <c r="E160" i="4"/>
  <c r="E159" i="4"/>
  <c r="E158" i="4"/>
  <c r="E157" i="4"/>
  <c r="E156" i="4"/>
  <c r="E155" i="4"/>
  <c r="E154" i="4"/>
  <c r="E153" i="4"/>
  <c r="E152" i="4"/>
  <c r="E151" i="4"/>
  <c r="E150" i="4"/>
  <c r="F150" i="4" s="1"/>
  <c r="G150" i="4" s="1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F90" i="4" s="1"/>
  <c r="G90" i="4" s="1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M72" i="4"/>
  <c r="N72" i="4" s="1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F55" i="4" s="1"/>
  <c r="G55" i="4" s="1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F20" i="4" s="1"/>
  <c r="G20" i="4" s="1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Q7" i="4" s="1"/>
  <c r="E4" i="4"/>
  <c r="Q11" i="4" l="1"/>
  <c r="P11" i="4"/>
  <c r="P7" i="4"/>
  <c r="F170" i="4"/>
  <c r="G170" i="4" s="1"/>
  <c r="F41" i="4"/>
  <c r="G41" i="4" s="1"/>
  <c r="F137" i="4"/>
  <c r="G137" i="4" s="1"/>
  <c r="F174" i="4"/>
  <c r="G174" i="4" s="1"/>
  <c r="M14" i="4"/>
  <c r="N14" i="4" s="1"/>
  <c r="M113" i="4"/>
  <c r="N113" i="4" s="1"/>
  <c r="M135" i="4"/>
  <c r="N135" i="4" s="1"/>
  <c r="F24" i="4"/>
  <c r="G24" i="4" s="1"/>
  <c r="M27" i="4"/>
  <c r="N27" i="4" s="1"/>
  <c r="M111" i="4"/>
  <c r="N111" i="4" s="1"/>
  <c r="M35" i="4"/>
  <c r="N35" i="4" s="1"/>
  <c r="M86" i="4"/>
  <c r="N86" i="4" s="1"/>
  <c r="M49" i="4"/>
  <c r="N49" i="4" s="1"/>
  <c r="M144" i="4"/>
  <c r="N144" i="4" s="1"/>
  <c r="F158" i="4"/>
  <c r="G158" i="4" s="1"/>
  <c r="M107" i="4"/>
  <c r="N107" i="4" s="1"/>
  <c r="F116" i="4"/>
  <c r="G116" i="4" s="1"/>
  <c r="M58" i="4"/>
  <c r="N58" i="4" s="1"/>
  <c r="F10" i="4"/>
  <c r="G10" i="4" s="1"/>
  <c r="M77" i="4"/>
  <c r="N77" i="4" s="1"/>
  <c r="F105" i="4"/>
  <c r="G105" i="4" s="1"/>
  <c r="F36" i="4"/>
  <c r="G36" i="4" s="1"/>
  <c r="M123" i="4"/>
  <c r="N123" i="4" s="1"/>
  <c r="M39" i="4"/>
  <c r="N39" i="4" s="1"/>
  <c r="Q28" i="4" s="1"/>
  <c r="M97" i="4"/>
  <c r="N97" i="4" s="1"/>
  <c r="M104" i="4"/>
  <c r="N104" i="4" s="1"/>
  <c r="M26" i="4"/>
  <c r="N26" i="4" s="1"/>
  <c r="M71" i="4"/>
  <c r="N71" i="4" s="1"/>
  <c r="M32" i="4"/>
  <c r="N32" i="4" s="1"/>
  <c r="M38" i="4"/>
  <c r="N38" i="4" s="1"/>
  <c r="M88" i="4"/>
  <c r="N88" i="4" s="1"/>
  <c r="M115" i="4"/>
  <c r="N115" i="4" s="1"/>
  <c r="M98" i="4"/>
  <c r="N98" i="4" s="1"/>
  <c r="M41" i="4"/>
  <c r="N41" i="4" s="1"/>
  <c r="M137" i="4"/>
  <c r="N137" i="4" s="1"/>
  <c r="F100" i="4"/>
  <c r="G100" i="4" s="1"/>
  <c r="F76" i="4"/>
  <c r="G76" i="4" s="1"/>
  <c r="F111" i="4"/>
  <c r="G111" i="4" s="1"/>
  <c r="F159" i="4"/>
  <c r="G159" i="4" s="1"/>
  <c r="F135" i="4"/>
  <c r="G135" i="4" s="1"/>
  <c r="F144" i="4"/>
  <c r="G144" i="4" s="1"/>
  <c r="F107" i="4"/>
  <c r="G107" i="4" s="1"/>
  <c r="F28" i="4"/>
  <c r="G28" i="4" s="1"/>
  <c r="F98" i="4"/>
  <c r="G98" i="4" s="1"/>
  <c r="F130" i="4"/>
  <c r="G130" i="4" s="1"/>
  <c r="M54" i="4"/>
  <c r="N54" i="4" s="1"/>
  <c r="F6" i="4"/>
  <c r="G6" i="4" s="1"/>
  <c r="F97" i="4"/>
  <c r="G97" i="4" s="1"/>
  <c r="M132" i="4"/>
  <c r="N132" i="4" s="1"/>
  <c r="F66" i="4"/>
  <c r="G66" i="4" s="1"/>
  <c r="M73" i="4"/>
  <c r="N73" i="4" s="1"/>
  <c r="M143" i="4"/>
  <c r="N143" i="4" s="1"/>
  <c r="F165" i="4"/>
  <c r="G165" i="4" s="1"/>
  <c r="M20" i="4"/>
  <c r="N20" i="4" s="1"/>
  <c r="F50" i="4"/>
  <c r="G50" i="4" s="1"/>
  <c r="M64" i="4"/>
  <c r="N64" i="4" s="1"/>
  <c r="M40" i="4"/>
  <c r="N40" i="4" s="1"/>
  <c r="F57" i="4"/>
  <c r="G57" i="4" s="1"/>
  <c r="M69" i="4"/>
  <c r="N69" i="4" s="1"/>
  <c r="M90" i="4"/>
  <c r="N90" i="4" s="1"/>
  <c r="M117" i="4"/>
  <c r="N117" i="4" s="1"/>
  <c r="F132" i="4"/>
  <c r="G132" i="4" s="1"/>
  <c r="F146" i="4"/>
  <c r="G146" i="4" s="1"/>
  <c r="F108" i="4"/>
  <c r="G108" i="4" s="1"/>
  <c r="M118" i="4"/>
  <c r="N118" i="4" s="1"/>
  <c r="F17" i="4"/>
  <c r="G17" i="4" s="1"/>
  <c r="M47" i="4"/>
  <c r="N47" i="4" s="1"/>
  <c r="F99" i="4"/>
  <c r="G99" i="4" s="1"/>
  <c r="F40" i="4"/>
  <c r="G40" i="4" s="1"/>
  <c r="M52" i="4"/>
  <c r="N52" i="4" s="1"/>
  <c r="M105" i="4"/>
  <c r="N105" i="4" s="1"/>
  <c r="F115" i="4"/>
  <c r="G115" i="4" s="1"/>
  <c r="F131" i="4"/>
  <c r="G131" i="4" s="1"/>
  <c r="F138" i="4"/>
  <c r="G138" i="4" s="1"/>
  <c r="F155" i="4"/>
  <c r="G155" i="4" s="1"/>
  <c r="M12" i="4"/>
  <c r="N12" i="4" s="1"/>
  <c r="F29" i="4"/>
  <c r="G29" i="4" s="1"/>
  <c r="M114" i="4"/>
  <c r="N114" i="4" s="1"/>
  <c r="F124" i="4"/>
  <c r="G124" i="4" s="1"/>
  <c r="F161" i="4"/>
  <c r="G161" i="4" s="1"/>
  <c r="F93" i="4"/>
  <c r="G93" i="4" s="1"/>
  <c r="M103" i="4"/>
  <c r="N103" i="4" s="1"/>
  <c r="F156" i="4"/>
  <c r="G156" i="4" s="1"/>
  <c r="F167" i="4"/>
  <c r="G167" i="4" s="1"/>
  <c r="F11" i="4"/>
  <c r="G11" i="4" s="1"/>
  <c r="M42" i="4"/>
  <c r="N42" i="4" s="1"/>
  <c r="F7" i="4"/>
  <c r="G7" i="4" s="1"/>
  <c r="F30" i="4"/>
  <c r="G30" i="4" s="1"/>
  <c r="F46" i="4"/>
  <c r="G46" i="4" s="1"/>
  <c r="M67" i="4"/>
  <c r="N67" i="4" s="1"/>
  <c r="F67" i="4"/>
  <c r="G67" i="4" s="1"/>
  <c r="M79" i="4"/>
  <c r="N79" i="4" s="1"/>
  <c r="M84" i="4"/>
  <c r="N84" i="4" s="1"/>
  <c r="M106" i="4"/>
  <c r="N106" i="4" s="1"/>
  <c r="M122" i="4"/>
  <c r="N122" i="4" s="1"/>
  <c r="F125" i="4"/>
  <c r="G125" i="4" s="1"/>
  <c r="F163" i="4"/>
  <c r="G163" i="4" s="1"/>
  <c r="F169" i="4"/>
  <c r="G169" i="4" s="1"/>
  <c r="F180" i="4"/>
  <c r="G180" i="4" s="1"/>
  <c r="F192" i="4"/>
  <c r="G192" i="4" s="1"/>
  <c r="F198" i="4"/>
  <c r="G198" i="4" s="1"/>
  <c r="F194" i="4"/>
  <c r="G194" i="4" s="1"/>
  <c r="F14" i="4"/>
  <c r="G14" i="4" s="1"/>
  <c r="F35" i="4"/>
  <c r="G35" i="4" s="1"/>
  <c r="M65" i="4"/>
  <c r="N65" i="4" s="1"/>
  <c r="F103" i="4"/>
  <c r="G103" i="4" s="1"/>
  <c r="M120" i="4"/>
  <c r="N120" i="4" s="1"/>
  <c r="F123" i="4"/>
  <c r="G123" i="4" s="1"/>
  <c r="M146" i="4"/>
  <c r="N146" i="4" s="1"/>
  <c r="F175" i="4"/>
  <c r="G175" i="4" s="1"/>
  <c r="F199" i="4"/>
  <c r="G199" i="4" s="1"/>
  <c r="F205" i="4"/>
  <c r="G205" i="4" s="1"/>
  <c r="F134" i="4"/>
  <c r="G134" i="4" s="1"/>
  <c r="F197" i="4"/>
  <c r="G197" i="4" s="1"/>
  <c r="F48" i="4"/>
  <c r="G48" i="4" s="1"/>
  <c r="F63" i="4"/>
  <c r="G63" i="4" s="1"/>
  <c r="F61" i="4"/>
  <c r="G61" i="4" s="1"/>
  <c r="F189" i="4"/>
  <c r="G189" i="4" s="1"/>
  <c r="M53" i="4"/>
  <c r="N53" i="4" s="1"/>
  <c r="F101" i="4"/>
  <c r="G101" i="4" s="1"/>
  <c r="F121" i="4"/>
  <c r="G121" i="4" s="1"/>
  <c r="M134" i="4"/>
  <c r="N134" i="4" s="1"/>
  <c r="F176" i="4"/>
  <c r="G176" i="4" s="1"/>
  <c r="F39" i="4"/>
  <c r="G39" i="4" s="1"/>
  <c r="M9" i="4"/>
  <c r="N9" i="4" s="1"/>
  <c r="M22" i="4"/>
  <c r="N22" i="4" s="1"/>
  <c r="F168" i="4"/>
  <c r="G168" i="4" s="1"/>
  <c r="M76" i="4"/>
  <c r="N76" i="4" s="1"/>
  <c r="F112" i="4"/>
  <c r="G112" i="4" s="1"/>
  <c r="F114" i="4"/>
  <c r="G114" i="4" s="1"/>
  <c r="M125" i="4"/>
  <c r="N125" i="4" s="1"/>
  <c r="F160" i="4"/>
  <c r="G160" i="4" s="1"/>
  <c r="F164" i="4"/>
  <c r="G164" i="4" s="1"/>
  <c r="F12" i="4"/>
  <c r="G12" i="4" s="1"/>
  <c r="F22" i="4"/>
  <c r="G22" i="4" s="1"/>
  <c r="F73" i="4"/>
  <c r="G73" i="4" s="1"/>
  <c r="F148" i="4"/>
  <c r="G148" i="4" s="1"/>
  <c r="F188" i="4"/>
  <c r="G188" i="4" s="1"/>
  <c r="F201" i="4"/>
  <c r="G201" i="4" s="1"/>
  <c r="M8" i="4"/>
  <c r="N8" i="4" s="1"/>
  <c r="F193" i="4"/>
  <c r="G193" i="4" s="1"/>
  <c r="M100" i="4"/>
  <c r="N100" i="4" s="1"/>
  <c r="M124" i="4"/>
  <c r="N124" i="4" s="1"/>
  <c r="M81" i="4"/>
  <c r="N81" i="4" s="1"/>
  <c r="F87" i="4"/>
  <c r="G87" i="4" s="1"/>
  <c r="F91" i="4"/>
  <c r="G91" i="4" s="1"/>
  <c r="M130" i="4"/>
  <c r="N130" i="4" s="1"/>
  <c r="M145" i="4"/>
  <c r="N145" i="4" s="1"/>
  <c r="M149" i="4"/>
  <c r="N149" i="4" s="1"/>
  <c r="F202" i="4"/>
  <c r="G202" i="4" s="1"/>
  <c r="M16" i="4"/>
  <c r="N16" i="4" s="1"/>
  <c r="M83" i="4"/>
  <c r="N83" i="4" s="1"/>
  <c r="M89" i="4"/>
  <c r="N89" i="4" s="1"/>
  <c r="F117" i="4"/>
  <c r="G117" i="4" s="1"/>
  <c r="F181" i="4"/>
  <c r="G181" i="4" s="1"/>
  <c r="F185" i="4"/>
  <c r="G185" i="4" s="1"/>
  <c r="F171" i="4"/>
  <c r="G171" i="4" s="1"/>
  <c r="F15" i="4"/>
  <c r="G15" i="4" s="1"/>
  <c r="F37" i="4"/>
  <c r="G37" i="4" s="1"/>
  <c r="F45" i="4"/>
  <c r="G45" i="4" s="1"/>
  <c r="F49" i="4"/>
  <c r="G49" i="4" s="1"/>
  <c r="F51" i="4"/>
  <c r="G51" i="4" s="1"/>
  <c r="F82" i="4"/>
  <c r="G82" i="4" s="1"/>
  <c r="F129" i="4"/>
  <c r="G129" i="4" s="1"/>
  <c r="F64" i="4"/>
  <c r="G64" i="4" s="1"/>
  <c r="F74" i="4"/>
  <c r="G74" i="4" s="1"/>
  <c r="M99" i="4"/>
  <c r="N99" i="4" s="1"/>
  <c r="F177" i="4"/>
  <c r="G177" i="4" s="1"/>
  <c r="M17" i="4"/>
  <c r="N17" i="4" s="1"/>
  <c r="F88" i="4"/>
  <c r="G88" i="4" s="1"/>
  <c r="F92" i="4"/>
  <c r="G92" i="4" s="1"/>
  <c r="F8" i="4"/>
  <c r="G8" i="4" s="1"/>
  <c r="M46" i="4"/>
  <c r="N46" i="4" s="1"/>
  <c r="M80" i="4"/>
  <c r="N80" i="4" s="1"/>
  <c r="F94" i="4"/>
  <c r="G94" i="4" s="1"/>
  <c r="M109" i="4"/>
  <c r="N109" i="4" s="1"/>
  <c r="F147" i="4"/>
  <c r="G147" i="4" s="1"/>
  <c r="F173" i="4"/>
  <c r="G173" i="4" s="1"/>
  <c r="F53" i="4"/>
  <c r="G53" i="4" s="1"/>
  <c r="F106" i="4"/>
  <c r="G106" i="4" s="1"/>
  <c r="F84" i="4"/>
  <c r="G84" i="4" s="1"/>
  <c r="M131" i="4"/>
  <c r="N131" i="4" s="1"/>
  <c r="F141" i="4"/>
  <c r="G141" i="4" s="1"/>
  <c r="F143" i="4"/>
  <c r="G143" i="4" s="1"/>
  <c r="F145" i="4"/>
  <c r="G145" i="4" s="1"/>
  <c r="F157" i="4"/>
  <c r="G157" i="4" s="1"/>
  <c r="F34" i="4"/>
  <c r="G34" i="4" s="1"/>
  <c r="F78" i="4"/>
  <c r="G78" i="4" s="1"/>
  <c r="F118" i="4"/>
  <c r="G118" i="4" s="1"/>
  <c r="F139" i="4"/>
  <c r="G139" i="4" s="1"/>
  <c r="F153" i="4"/>
  <c r="G153" i="4" s="1"/>
  <c r="M18" i="4"/>
  <c r="N18" i="4" s="1"/>
  <c r="M29" i="4"/>
  <c r="N29" i="4" s="1"/>
  <c r="F149" i="4"/>
  <c r="G149" i="4" s="1"/>
  <c r="F186" i="4"/>
  <c r="G186" i="4" s="1"/>
  <c r="P23" i="4"/>
  <c r="M6" i="4"/>
  <c r="N6" i="4" s="1"/>
  <c r="M31" i="4"/>
  <c r="N31" i="4" s="1"/>
  <c r="F44" i="4"/>
  <c r="G44" i="4" s="1"/>
  <c r="M50" i="4"/>
  <c r="N50" i="4" s="1"/>
  <c r="M62" i="4"/>
  <c r="N62" i="4" s="1"/>
  <c r="M70" i="4"/>
  <c r="N70" i="4" s="1"/>
  <c r="F69" i="4"/>
  <c r="G69" i="4" s="1"/>
  <c r="M91" i="4"/>
  <c r="N91" i="4" s="1"/>
  <c r="M95" i="4"/>
  <c r="N95" i="4" s="1"/>
  <c r="M102" i="4"/>
  <c r="N102" i="4" s="1"/>
  <c r="M129" i="4"/>
  <c r="N129" i="4" s="1"/>
  <c r="M133" i="4"/>
  <c r="N133" i="4" s="1"/>
  <c r="M139" i="4"/>
  <c r="N139" i="4" s="1"/>
  <c r="F182" i="4"/>
  <c r="G182" i="4" s="1"/>
  <c r="Q3" i="4"/>
  <c r="F21" i="4"/>
  <c r="G21" i="4" s="1"/>
  <c r="F42" i="4"/>
  <c r="G42" i="4" s="1"/>
  <c r="F58" i="4"/>
  <c r="G58" i="4" s="1"/>
  <c r="M66" i="4"/>
  <c r="N66" i="4" s="1"/>
  <c r="F113" i="4"/>
  <c r="G113" i="4" s="1"/>
  <c r="F122" i="4"/>
  <c r="G122" i="4" s="1"/>
  <c r="F203" i="4"/>
  <c r="G203" i="4" s="1"/>
  <c r="M5" i="4"/>
  <c r="N5" i="4" s="1"/>
  <c r="M10" i="4"/>
  <c r="N10" i="4" s="1"/>
  <c r="M15" i="4"/>
  <c r="N15" i="4" s="1"/>
  <c r="F25" i="4"/>
  <c r="G25" i="4" s="1"/>
  <c r="F27" i="4"/>
  <c r="G27" i="4" s="1"/>
  <c r="F32" i="4"/>
  <c r="G32" i="4" s="1"/>
  <c r="M63" i="4"/>
  <c r="N63" i="4" s="1"/>
  <c r="F62" i="4"/>
  <c r="G62" i="4" s="1"/>
  <c r="F86" i="4"/>
  <c r="G86" i="4" s="1"/>
  <c r="F96" i="4"/>
  <c r="M136" i="4"/>
  <c r="N136" i="4" s="1"/>
  <c r="M140" i="4"/>
  <c r="N140" i="4" s="1"/>
  <c r="F195" i="4"/>
  <c r="G195" i="4" s="1"/>
  <c r="F9" i="4"/>
  <c r="G9" i="4" s="1"/>
  <c r="F47" i="4"/>
  <c r="G47" i="4" s="1"/>
  <c r="M55" i="4"/>
  <c r="N55" i="4" s="1"/>
  <c r="M59" i="4"/>
  <c r="N59" i="4" s="1"/>
  <c r="M75" i="4"/>
  <c r="N75" i="4" s="1"/>
  <c r="M108" i="4"/>
  <c r="N108" i="4" s="1"/>
  <c r="F140" i="4"/>
  <c r="G140" i="4" s="1"/>
  <c r="F204" i="4"/>
  <c r="G204" i="4" s="1"/>
  <c r="M85" i="4"/>
  <c r="N85" i="4" s="1"/>
  <c r="F183" i="4"/>
  <c r="G183" i="4" s="1"/>
  <c r="F75" i="4"/>
  <c r="G75" i="4" s="1"/>
  <c r="F110" i="4"/>
  <c r="G110" i="4" s="1"/>
  <c r="M33" i="4"/>
  <c r="N33" i="4" s="1"/>
  <c r="F52" i="4"/>
  <c r="G52" i="4" s="1"/>
  <c r="F65" i="4"/>
  <c r="G65" i="4" s="1"/>
  <c r="M34" i="4"/>
  <c r="N34" i="4" s="1"/>
  <c r="M45" i="4"/>
  <c r="N45" i="4" s="1"/>
  <c r="F26" i="4"/>
  <c r="G26" i="4" s="1"/>
  <c r="M21" i="4"/>
  <c r="N21" i="4" s="1"/>
  <c r="Q27" i="4" s="1"/>
  <c r="F71" i="4"/>
  <c r="G71" i="4" s="1"/>
  <c r="M127" i="4"/>
  <c r="N127" i="4" s="1"/>
  <c r="F104" i="4"/>
  <c r="G104" i="4" s="1"/>
  <c r="Q15" i="4"/>
  <c r="F43" i="4"/>
  <c r="G43" i="4" s="1"/>
  <c r="F79" i="4"/>
  <c r="G79" i="4" s="1"/>
  <c r="F127" i="4"/>
  <c r="G127" i="4" s="1"/>
  <c r="M116" i="4"/>
  <c r="N116" i="4" s="1"/>
  <c r="M112" i="4"/>
  <c r="N112" i="4" s="1"/>
  <c r="M23" i="4"/>
  <c r="N23" i="4" s="1"/>
  <c r="F38" i="4"/>
  <c r="G38" i="4" s="1"/>
  <c r="P3" i="4"/>
  <c r="F95" i="4"/>
  <c r="G95" i="4" s="1"/>
  <c r="F83" i="4"/>
  <c r="G83" i="4" s="1"/>
  <c r="P15" i="4"/>
  <c r="Q23" i="4"/>
  <c r="F19" i="4"/>
  <c r="G19" i="4" s="1"/>
  <c r="F23" i="4"/>
  <c r="G23" i="4" s="1"/>
  <c r="M61" i="4"/>
  <c r="N61" i="4" s="1"/>
  <c r="M11" i="4"/>
  <c r="N11" i="4" s="1"/>
  <c r="M57" i="4"/>
  <c r="N57" i="4" s="1"/>
  <c r="M24" i="4"/>
  <c r="N24" i="4" s="1"/>
  <c r="M13" i="4"/>
  <c r="N13" i="4" s="1"/>
  <c r="M4" i="4"/>
  <c r="N4" i="4" s="1"/>
  <c r="Q26" i="4" s="1"/>
  <c r="M28" i="4"/>
  <c r="N28" i="4" s="1"/>
  <c r="F33" i="4"/>
  <c r="G33" i="4" s="1"/>
  <c r="F5" i="4"/>
  <c r="G5" i="4" s="1"/>
  <c r="M48" i="4"/>
  <c r="N48" i="4" s="1"/>
  <c r="M7" i="4"/>
  <c r="N7" i="4" s="1"/>
  <c r="F13" i="4"/>
  <c r="G13" i="4" s="1"/>
  <c r="F16" i="4"/>
  <c r="G16" i="4" s="1"/>
  <c r="F31" i="4"/>
  <c r="G31" i="4" s="1"/>
  <c r="F54" i="4"/>
  <c r="G54" i="4" s="1"/>
  <c r="F70" i="4"/>
  <c r="M96" i="4"/>
  <c r="N96" i="4" s="1"/>
  <c r="F77" i="4"/>
  <c r="G77" i="4" s="1"/>
  <c r="M128" i="4"/>
  <c r="N128" i="4" s="1"/>
  <c r="F81" i="4"/>
  <c r="G81" i="4" s="1"/>
  <c r="F85" i="4"/>
  <c r="G85" i="4" s="1"/>
  <c r="F126" i="4"/>
  <c r="G126" i="4" s="1"/>
  <c r="F172" i="4"/>
  <c r="G172" i="4" s="1"/>
  <c r="F184" i="4"/>
  <c r="G184" i="4" s="1"/>
  <c r="F56" i="4"/>
  <c r="G56" i="4" s="1"/>
  <c r="F60" i="4"/>
  <c r="G60" i="4" s="1"/>
  <c r="F72" i="4"/>
  <c r="G72" i="4" s="1"/>
  <c r="M110" i="4"/>
  <c r="N110" i="4" s="1"/>
  <c r="F89" i="4"/>
  <c r="G89" i="4" s="1"/>
  <c r="M25" i="4"/>
  <c r="N25" i="4" s="1"/>
  <c r="F18" i="4"/>
  <c r="G18" i="4" s="1"/>
  <c r="M37" i="4"/>
  <c r="N37" i="4" s="1"/>
  <c r="M44" i="4"/>
  <c r="N44" i="4" s="1"/>
  <c r="F68" i="4"/>
  <c r="G68" i="4" s="1"/>
  <c r="F4" i="4"/>
  <c r="G4" i="4" s="1"/>
  <c r="M30" i="4"/>
  <c r="N30" i="4" s="1"/>
  <c r="F59" i="4"/>
  <c r="G59" i="4" s="1"/>
  <c r="M82" i="4"/>
  <c r="N82" i="4" s="1"/>
  <c r="F80" i="4"/>
  <c r="G80" i="4" s="1"/>
  <c r="F120" i="4"/>
  <c r="G120" i="4" s="1"/>
  <c r="F200" i="4"/>
  <c r="G200" i="4" s="1"/>
  <c r="F109" i="4"/>
  <c r="G109" i="4" s="1"/>
  <c r="M94" i="4"/>
  <c r="N94" i="4" s="1"/>
  <c r="M101" i="4"/>
  <c r="N101" i="4" s="1"/>
  <c r="F102" i="4"/>
  <c r="G102" i="4" s="1"/>
  <c r="M121" i="4"/>
  <c r="N121" i="4" s="1"/>
  <c r="F119" i="4"/>
  <c r="G119" i="4" s="1"/>
  <c r="M126" i="4"/>
  <c r="N126" i="4" s="1"/>
  <c r="F179" i="4"/>
  <c r="G179" i="4" s="1"/>
  <c r="F191" i="4"/>
  <c r="G191" i="4" s="1"/>
  <c r="M51" i="4"/>
  <c r="N51" i="4" s="1"/>
  <c r="M56" i="4"/>
  <c r="N56" i="4" s="1"/>
  <c r="M60" i="4"/>
  <c r="N60" i="4" s="1"/>
  <c r="M93" i="4"/>
  <c r="N93" i="4" s="1"/>
  <c r="M138" i="4"/>
  <c r="N138" i="4" s="1"/>
  <c r="M119" i="4"/>
  <c r="N119" i="4" s="1"/>
  <c r="M68" i="4"/>
  <c r="N68" i="4" s="1"/>
  <c r="M78" i="4"/>
  <c r="N78" i="4" s="1"/>
  <c r="M92" i="4"/>
  <c r="N92" i="4" s="1"/>
  <c r="F128" i="4"/>
  <c r="G128" i="4" s="1"/>
  <c r="M141" i="4"/>
  <c r="N141" i="4" s="1"/>
  <c r="M87" i="4"/>
  <c r="N87" i="4" s="1"/>
  <c r="F142" i="4"/>
  <c r="G142" i="4" s="1"/>
  <c r="M148" i="4"/>
  <c r="N148" i="4" s="1"/>
  <c r="F196" i="4"/>
  <c r="G196" i="4" s="1"/>
  <c r="F151" i="4"/>
  <c r="G151" i="4" s="1"/>
  <c r="F154" i="4"/>
  <c r="G154" i="4" s="1"/>
  <c r="F133" i="4"/>
  <c r="G133" i="4" s="1"/>
  <c r="M147" i="4"/>
  <c r="N147" i="4" s="1"/>
  <c r="F166" i="4"/>
  <c r="G166" i="4" s="1"/>
  <c r="F178" i="4"/>
  <c r="G178" i="4" s="1"/>
  <c r="F136" i="4"/>
  <c r="G136" i="4" s="1"/>
  <c r="F152" i="4"/>
  <c r="G152" i="4" s="1"/>
  <c r="F187" i="4"/>
  <c r="G187" i="4" s="1"/>
  <c r="F190" i="4"/>
  <c r="G190" i="4" s="1"/>
  <c r="G96" i="4" l="1"/>
  <c r="G70" i="4"/>
  <c r="P5" i="3" l="1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7" i="3"/>
  <c r="P38" i="3"/>
  <c r="P39" i="3"/>
  <c r="P40" i="3"/>
  <c r="P41" i="3"/>
  <c r="P42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5" i="3"/>
  <c r="P76" i="3"/>
  <c r="X20" i="3" s="1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3" i="3"/>
  <c r="P144" i="3"/>
  <c r="P145" i="3"/>
  <c r="P146" i="3"/>
  <c r="P147" i="3"/>
  <c r="P148" i="3"/>
  <c r="P149" i="3"/>
  <c r="P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7" i="3"/>
  <c r="N38" i="3"/>
  <c r="N39" i="3"/>
  <c r="N40" i="3"/>
  <c r="N41" i="3"/>
  <c r="N42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5" i="3"/>
  <c r="N76" i="3"/>
  <c r="V20" i="3" s="1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3" i="3"/>
  <c r="N144" i="3"/>
  <c r="N145" i="3"/>
  <c r="N146" i="3"/>
  <c r="N147" i="3"/>
  <c r="N148" i="3"/>
  <c r="N149" i="3"/>
  <c r="N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7" i="3"/>
  <c r="O38" i="3"/>
  <c r="O39" i="3"/>
  <c r="O40" i="3"/>
  <c r="O41" i="3"/>
  <c r="O42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5" i="3"/>
  <c r="S75" i="3" s="1"/>
  <c r="T75" i="3" s="1"/>
  <c r="O76" i="3"/>
  <c r="W20" i="3" s="1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S123" i="3" s="1"/>
  <c r="T123" i="3" s="1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3" i="3"/>
  <c r="O144" i="3"/>
  <c r="O145" i="3"/>
  <c r="O146" i="3"/>
  <c r="O147" i="3"/>
  <c r="O148" i="3"/>
  <c r="O149" i="3"/>
  <c r="O4" i="3"/>
  <c r="X7" i="3" l="1"/>
  <c r="X11" i="3"/>
  <c r="V11" i="3"/>
  <c r="W15" i="3"/>
  <c r="W25" i="3"/>
  <c r="X25" i="3"/>
  <c r="W3" i="3"/>
  <c r="V25" i="3"/>
  <c r="I77" i="3"/>
  <c r="J77" i="3" s="1"/>
  <c r="W7" i="3"/>
  <c r="W11" i="3"/>
  <c r="X15" i="3"/>
  <c r="X3" i="3"/>
  <c r="S129" i="3"/>
  <c r="T129" i="3" s="1"/>
  <c r="V15" i="3"/>
  <c r="I142" i="3"/>
  <c r="J142" i="3" s="1"/>
  <c r="I106" i="3"/>
  <c r="J106" i="3" s="1"/>
  <c r="I34" i="3"/>
  <c r="J34" i="3" s="1"/>
  <c r="V3" i="3"/>
  <c r="V7" i="3"/>
  <c r="Q143" i="3"/>
  <c r="R143" i="3" s="1"/>
  <c r="I194" i="3"/>
  <c r="J194" i="3" s="1"/>
  <c r="I170" i="3"/>
  <c r="J170" i="3" s="1"/>
  <c r="I146" i="3"/>
  <c r="J146" i="3" s="1"/>
  <c r="I122" i="3"/>
  <c r="J122" i="3" s="1"/>
  <c r="I110" i="3"/>
  <c r="J110" i="3" s="1"/>
  <c r="I74" i="3"/>
  <c r="J74" i="3" s="1"/>
  <c r="I62" i="3"/>
  <c r="J62" i="3" s="1"/>
  <c r="I38" i="3"/>
  <c r="J38" i="3" s="1"/>
  <c r="I26" i="3"/>
  <c r="J26" i="3" s="1"/>
  <c r="I14" i="3"/>
  <c r="J14" i="3" s="1"/>
  <c r="Q31" i="3"/>
  <c r="R31" i="3" s="1"/>
  <c r="Q18" i="3"/>
  <c r="R18" i="3" s="1"/>
  <c r="Q6" i="3"/>
  <c r="R6" i="3" s="1"/>
  <c r="I128" i="3"/>
  <c r="J128" i="3" s="1"/>
  <c r="G35" i="3"/>
  <c r="H35" i="3" s="1"/>
  <c r="I200" i="3"/>
  <c r="J200" i="3" s="1"/>
  <c r="I152" i="3"/>
  <c r="J152" i="3" s="1"/>
  <c r="I92" i="3"/>
  <c r="J92" i="3" s="1"/>
  <c r="I80" i="3"/>
  <c r="J80" i="3" s="1"/>
  <c r="I44" i="3"/>
  <c r="J44" i="3" s="1"/>
  <c r="I32" i="3"/>
  <c r="J32" i="3" s="1"/>
  <c r="I20" i="3"/>
  <c r="J20" i="3" s="1"/>
  <c r="I8" i="3"/>
  <c r="J8" i="3" s="1"/>
  <c r="Q50" i="3"/>
  <c r="R50" i="3" s="1"/>
  <c r="I176" i="3"/>
  <c r="J176" i="3" s="1"/>
  <c r="I140" i="3"/>
  <c r="J140" i="3" s="1"/>
  <c r="I104" i="3"/>
  <c r="J104" i="3" s="1"/>
  <c r="I167" i="3"/>
  <c r="J167" i="3" s="1"/>
  <c r="I71" i="3"/>
  <c r="J71" i="3" s="1"/>
  <c r="I164" i="3"/>
  <c r="J164" i="3" s="1"/>
  <c r="Q128" i="3"/>
  <c r="R128" i="3" s="1"/>
  <c r="S141" i="3"/>
  <c r="T141" i="3" s="1"/>
  <c r="S117" i="3"/>
  <c r="T117" i="3" s="1"/>
  <c r="S105" i="3"/>
  <c r="T105" i="3" s="1"/>
  <c r="S81" i="3"/>
  <c r="T81" i="3" s="1"/>
  <c r="S68" i="3"/>
  <c r="T68" i="3" s="1"/>
  <c r="S44" i="3"/>
  <c r="T44" i="3" s="1"/>
  <c r="S30" i="3"/>
  <c r="T30" i="3" s="1"/>
  <c r="S17" i="3"/>
  <c r="T17" i="3" s="1"/>
  <c r="S5" i="3"/>
  <c r="T5" i="3" s="1"/>
  <c r="I188" i="3"/>
  <c r="J188" i="3" s="1"/>
  <c r="I116" i="3"/>
  <c r="J116" i="3" s="1"/>
  <c r="I68" i="3"/>
  <c r="J68" i="3" s="1"/>
  <c r="I178" i="3"/>
  <c r="J178" i="3" s="1"/>
  <c r="Q134" i="3"/>
  <c r="R134" i="3" s="1"/>
  <c r="S148" i="3"/>
  <c r="T148" i="3" s="1"/>
  <c r="S135" i="3"/>
  <c r="T135" i="3" s="1"/>
  <c r="S62" i="3"/>
  <c r="T62" i="3" s="1"/>
  <c r="S37" i="3"/>
  <c r="T37" i="3" s="1"/>
  <c r="S24" i="3"/>
  <c r="T24" i="3" s="1"/>
  <c r="S11" i="3"/>
  <c r="T11" i="3" s="1"/>
  <c r="S50" i="3"/>
  <c r="T50" i="3" s="1"/>
  <c r="Q123" i="3"/>
  <c r="R123" i="3" s="1"/>
  <c r="Q111" i="3"/>
  <c r="R111" i="3" s="1"/>
  <c r="Q122" i="3"/>
  <c r="R122" i="3" s="1"/>
  <c r="Q99" i="3"/>
  <c r="R99" i="3" s="1"/>
  <c r="Q87" i="3"/>
  <c r="R87" i="3" s="1"/>
  <c r="I182" i="3"/>
  <c r="J182" i="3" s="1"/>
  <c r="I158" i="3"/>
  <c r="J158" i="3" s="1"/>
  <c r="I134" i="3"/>
  <c r="J134" i="3" s="1"/>
  <c r="I98" i="3"/>
  <c r="J98" i="3" s="1"/>
  <c r="I86" i="3"/>
  <c r="J86" i="3" s="1"/>
  <c r="I50" i="3"/>
  <c r="J50" i="3" s="1"/>
  <c r="Q75" i="3"/>
  <c r="R75" i="3" s="1"/>
  <c r="S46" i="3"/>
  <c r="T46" i="3" s="1"/>
  <c r="I56" i="3"/>
  <c r="J56" i="3" s="1"/>
  <c r="Q45" i="3"/>
  <c r="R45" i="3" s="1"/>
  <c r="I79" i="3"/>
  <c r="J79" i="3" s="1"/>
  <c r="G173" i="3"/>
  <c r="H173" i="3" s="1"/>
  <c r="G161" i="3"/>
  <c r="H161" i="3" s="1"/>
  <c r="G137" i="3"/>
  <c r="H137" i="3" s="1"/>
  <c r="G125" i="3"/>
  <c r="H125" i="3" s="1"/>
  <c r="G65" i="3"/>
  <c r="H65" i="3" s="1"/>
  <c r="G53" i="3"/>
  <c r="H53" i="3" s="1"/>
  <c r="G41" i="3"/>
  <c r="H41" i="3" s="1"/>
  <c r="G29" i="3"/>
  <c r="H29" i="3" s="1"/>
  <c r="G5" i="3"/>
  <c r="H5" i="3" s="1"/>
  <c r="S40" i="3"/>
  <c r="T40" i="3" s="1"/>
  <c r="S56" i="3"/>
  <c r="T56" i="3" s="1"/>
  <c r="S13" i="3"/>
  <c r="T13" i="3" s="1"/>
  <c r="S77" i="3"/>
  <c r="T77" i="3" s="1"/>
  <c r="G197" i="3"/>
  <c r="H197" i="3" s="1"/>
  <c r="G185" i="3"/>
  <c r="H185" i="3" s="1"/>
  <c r="G101" i="3"/>
  <c r="H101" i="3" s="1"/>
  <c r="G89" i="3"/>
  <c r="H89" i="3" s="1"/>
  <c r="S99" i="3"/>
  <c r="T99" i="3" s="1"/>
  <c r="S89" i="3"/>
  <c r="T89" i="3" s="1"/>
  <c r="S111" i="3"/>
  <c r="T111" i="3" s="1"/>
  <c r="S87" i="3"/>
  <c r="T87" i="3" s="1"/>
  <c r="Q98" i="3"/>
  <c r="R98" i="3" s="1"/>
  <c r="Q118" i="3"/>
  <c r="R118" i="3" s="1"/>
  <c r="Q37" i="3"/>
  <c r="R37" i="3" s="1"/>
  <c r="Q24" i="3"/>
  <c r="R24" i="3" s="1"/>
  <c r="Q69" i="3"/>
  <c r="R69" i="3" s="1"/>
  <c r="S42" i="3"/>
  <c r="T42" i="3" s="1"/>
  <c r="Q86" i="3"/>
  <c r="R86" i="3" s="1"/>
  <c r="Q61" i="3"/>
  <c r="R61" i="3" s="1"/>
  <c r="Q106" i="3"/>
  <c r="R106" i="3" s="1"/>
  <c r="Q94" i="3"/>
  <c r="R94" i="3" s="1"/>
  <c r="Q35" i="3"/>
  <c r="R35" i="3" s="1"/>
  <c r="Q10" i="3"/>
  <c r="R10" i="3" s="1"/>
  <c r="G77" i="3"/>
  <c r="H77" i="3" s="1"/>
  <c r="G149" i="3"/>
  <c r="H149" i="3" s="1"/>
  <c r="G113" i="3"/>
  <c r="H113" i="3" s="1"/>
  <c r="Q130" i="3"/>
  <c r="R130" i="3" s="1"/>
  <c r="Q73" i="3"/>
  <c r="R73" i="3" s="1"/>
  <c r="Q62" i="3"/>
  <c r="R62" i="3" s="1"/>
  <c r="S93" i="3"/>
  <c r="T93" i="3" s="1"/>
  <c r="Q82" i="3"/>
  <c r="R82" i="3" s="1"/>
  <c r="Q49" i="3"/>
  <c r="R49" i="3" s="1"/>
  <c r="Q147" i="3"/>
  <c r="R147" i="3" s="1"/>
  <c r="Q135" i="3"/>
  <c r="R135" i="3" s="1"/>
  <c r="Q57" i="3"/>
  <c r="R57" i="3" s="1"/>
  <c r="Q23" i="3"/>
  <c r="R23" i="3" s="1"/>
  <c r="Q11" i="3"/>
  <c r="R11" i="3" s="1"/>
  <c r="S119" i="3"/>
  <c r="T119" i="3" s="1"/>
  <c r="S107" i="3"/>
  <c r="T107" i="3" s="1"/>
  <c r="S32" i="3"/>
  <c r="T32" i="3" s="1"/>
  <c r="I196" i="3"/>
  <c r="J196" i="3" s="1"/>
  <c r="I160" i="3"/>
  <c r="J160" i="3" s="1"/>
  <c r="I124" i="3"/>
  <c r="J124" i="3" s="1"/>
  <c r="I88" i="3"/>
  <c r="J88" i="3" s="1"/>
  <c r="I52" i="3"/>
  <c r="J52" i="3" s="1"/>
  <c r="I16" i="3"/>
  <c r="J16" i="3" s="1"/>
  <c r="G181" i="3"/>
  <c r="H181" i="3" s="1"/>
  <c r="G157" i="3"/>
  <c r="H157" i="3" s="1"/>
  <c r="G145" i="3"/>
  <c r="H145" i="3" s="1"/>
  <c r="G133" i="3"/>
  <c r="H133" i="3" s="1"/>
  <c r="G121" i="3"/>
  <c r="H121" i="3" s="1"/>
  <c r="G109" i="3"/>
  <c r="H109" i="3" s="1"/>
  <c r="G97" i="3"/>
  <c r="H97" i="3" s="1"/>
  <c r="G85" i="3"/>
  <c r="H85" i="3" s="1"/>
  <c r="G73" i="3"/>
  <c r="H73" i="3" s="1"/>
  <c r="G61" i="3"/>
  <c r="H61" i="3" s="1"/>
  <c r="G49" i="3"/>
  <c r="H49" i="3" s="1"/>
  <c r="G37" i="3"/>
  <c r="H37" i="3" s="1"/>
  <c r="G25" i="3"/>
  <c r="H25" i="3" s="1"/>
  <c r="G204" i="3"/>
  <c r="H204" i="3" s="1"/>
  <c r="G192" i="3"/>
  <c r="H192" i="3" s="1"/>
  <c r="G180" i="3"/>
  <c r="H180" i="3" s="1"/>
  <c r="G168" i="3"/>
  <c r="H168" i="3" s="1"/>
  <c r="G156" i="3"/>
  <c r="H156" i="3" s="1"/>
  <c r="G144" i="3"/>
  <c r="H144" i="3" s="1"/>
  <c r="G132" i="3"/>
  <c r="H132" i="3" s="1"/>
  <c r="G120" i="3"/>
  <c r="H120" i="3" s="1"/>
  <c r="G108" i="3"/>
  <c r="H108" i="3" s="1"/>
  <c r="G96" i="3"/>
  <c r="H96" i="3" s="1"/>
  <c r="G84" i="3"/>
  <c r="H84" i="3" s="1"/>
  <c r="G72" i="3"/>
  <c r="H72" i="3" s="1"/>
  <c r="G60" i="3"/>
  <c r="H60" i="3" s="1"/>
  <c r="G48" i="3"/>
  <c r="H48" i="3" s="1"/>
  <c r="G36" i="3"/>
  <c r="H36" i="3" s="1"/>
  <c r="G24" i="3"/>
  <c r="H24" i="3" s="1"/>
  <c r="G12" i="3"/>
  <c r="H12" i="3" s="1"/>
  <c r="G194" i="3"/>
  <c r="H194" i="3" s="1"/>
  <c r="G182" i="3"/>
  <c r="H182" i="3" s="1"/>
  <c r="G170" i="3"/>
  <c r="H170" i="3" s="1"/>
  <c r="G158" i="3"/>
  <c r="H158" i="3" s="1"/>
  <c r="G146" i="3"/>
  <c r="H146" i="3" s="1"/>
  <c r="G134" i="3"/>
  <c r="H134" i="3" s="1"/>
  <c r="G122" i="3"/>
  <c r="H122" i="3" s="1"/>
  <c r="G110" i="3"/>
  <c r="H110" i="3" s="1"/>
  <c r="G98" i="3"/>
  <c r="H98" i="3" s="1"/>
  <c r="G86" i="3"/>
  <c r="H86" i="3" s="1"/>
  <c r="G74" i="3"/>
  <c r="H74" i="3" s="1"/>
  <c r="G62" i="3"/>
  <c r="H62" i="3" s="1"/>
  <c r="G50" i="3"/>
  <c r="H50" i="3" s="1"/>
  <c r="G38" i="3"/>
  <c r="H38" i="3" s="1"/>
  <c r="G26" i="3"/>
  <c r="H26" i="3" s="1"/>
  <c r="G14" i="3"/>
  <c r="H14" i="3" s="1"/>
  <c r="G205" i="3"/>
  <c r="H205" i="3" s="1"/>
  <c r="G4" i="3"/>
  <c r="H4" i="3" s="1"/>
  <c r="G167" i="3"/>
  <c r="H167" i="3" s="1"/>
  <c r="G83" i="3"/>
  <c r="H83" i="3" s="1"/>
  <c r="G71" i="3"/>
  <c r="H71" i="3" s="1"/>
  <c r="G59" i="3"/>
  <c r="H59" i="3" s="1"/>
  <c r="G143" i="3"/>
  <c r="H143" i="3" s="1"/>
  <c r="G155" i="3"/>
  <c r="H155" i="3" s="1"/>
  <c r="G119" i="3"/>
  <c r="H119" i="3" s="1"/>
  <c r="Q107" i="3"/>
  <c r="R107" i="3" s="1"/>
  <c r="Q148" i="3"/>
  <c r="R148" i="3" s="1"/>
  <c r="G191" i="3"/>
  <c r="H191" i="3" s="1"/>
  <c r="G131" i="3"/>
  <c r="H131" i="3" s="1"/>
  <c r="G107" i="3"/>
  <c r="H107" i="3" s="1"/>
  <c r="Q119" i="3"/>
  <c r="R119" i="3" s="1"/>
  <c r="G195" i="3"/>
  <c r="H195" i="3" s="1"/>
  <c r="G183" i="3"/>
  <c r="H183" i="3" s="1"/>
  <c r="G171" i="3"/>
  <c r="H171" i="3" s="1"/>
  <c r="G159" i="3"/>
  <c r="H159" i="3" s="1"/>
  <c r="G147" i="3"/>
  <c r="H147" i="3" s="1"/>
  <c r="G135" i="3"/>
  <c r="H135" i="3" s="1"/>
  <c r="G123" i="3"/>
  <c r="H123" i="3" s="1"/>
  <c r="G111" i="3"/>
  <c r="H111" i="3" s="1"/>
  <c r="G99" i="3"/>
  <c r="H99" i="3" s="1"/>
  <c r="G87" i="3"/>
  <c r="H87" i="3" s="1"/>
  <c r="G75" i="3"/>
  <c r="H75" i="3" s="1"/>
  <c r="G63" i="3"/>
  <c r="H63" i="3" s="1"/>
  <c r="G51" i="3"/>
  <c r="H51" i="3" s="1"/>
  <c r="G39" i="3"/>
  <c r="H39" i="3" s="1"/>
  <c r="G27" i="3"/>
  <c r="H27" i="3" s="1"/>
  <c r="G15" i="3"/>
  <c r="H15" i="3" s="1"/>
  <c r="Q149" i="3"/>
  <c r="R149" i="3" s="1"/>
  <c r="Q136" i="3"/>
  <c r="R136" i="3" s="1"/>
  <c r="Q124" i="3"/>
  <c r="R124" i="3" s="1"/>
  <c r="Q112" i="3"/>
  <c r="R112" i="3" s="1"/>
  <c r="Q100" i="3"/>
  <c r="R100" i="3" s="1"/>
  <c r="Q88" i="3"/>
  <c r="R88" i="3" s="1"/>
  <c r="Q76" i="3"/>
  <c r="R76" i="3" s="1"/>
  <c r="Q63" i="3"/>
  <c r="R63" i="3" s="1"/>
  <c r="Q51" i="3"/>
  <c r="R51" i="3" s="1"/>
  <c r="Q38" i="3"/>
  <c r="R38" i="3" s="1"/>
  <c r="Q25" i="3"/>
  <c r="R25" i="3" s="1"/>
  <c r="Q12" i="3"/>
  <c r="R12" i="3" s="1"/>
  <c r="G42" i="3"/>
  <c r="H42" i="3" s="1"/>
  <c r="Q138" i="3"/>
  <c r="R138" i="3" s="1"/>
  <c r="Q126" i="3"/>
  <c r="R126" i="3" s="1"/>
  <c r="Q102" i="3"/>
  <c r="R102" i="3" s="1"/>
  <c r="Q65" i="3"/>
  <c r="R65" i="3" s="1"/>
  <c r="Q40" i="3"/>
  <c r="R40" i="3" s="1"/>
  <c r="Q27" i="3"/>
  <c r="R27" i="3" s="1"/>
  <c r="Q14" i="3"/>
  <c r="R14" i="3" s="1"/>
  <c r="I169" i="3"/>
  <c r="J169" i="3" s="1"/>
  <c r="S55" i="3"/>
  <c r="T55" i="3" s="1"/>
  <c r="I179" i="3"/>
  <c r="J179" i="3" s="1"/>
  <c r="I41" i="3"/>
  <c r="J41" i="3" s="1"/>
  <c r="I23" i="3"/>
  <c r="J23" i="3" s="1"/>
  <c r="I11" i="3"/>
  <c r="J11" i="3" s="1"/>
  <c r="S126" i="3"/>
  <c r="T126" i="3" s="1"/>
  <c r="Q120" i="3"/>
  <c r="R120" i="3" s="1"/>
  <c r="Q108" i="3"/>
  <c r="R108" i="3" s="1"/>
  <c r="Q96" i="3"/>
  <c r="R96" i="3" s="1"/>
  <c r="S90" i="3"/>
  <c r="T90" i="3" s="1"/>
  <c r="S84" i="3"/>
  <c r="T84" i="3" s="1"/>
  <c r="S71" i="3"/>
  <c r="T71" i="3" s="1"/>
  <c r="S65" i="3"/>
  <c r="T65" i="3" s="1"/>
  <c r="Q47" i="3"/>
  <c r="R47" i="3" s="1"/>
  <c r="S14" i="3"/>
  <c r="T14" i="3" s="1"/>
  <c r="I203" i="3"/>
  <c r="J203" i="3" s="1"/>
  <c r="Q46" i="3"/>
  <c r="R46" i="3" s="1"/>
  <c r="Q32" i="3"/>
  <c r="R32" i="3" s="1"/>
  <c r="G169" i="3"/>
  <c r="H169" i="3" s="1"/>
  <c r="I13" i="3"/>
  <c r="J13" i="3" s="1"/>
  <c r="G13" i="3"/>
  <c r="H13" i="3" s="1"/>
  <c r="Q110" i="3"/>
  <c r="R110" i="3" s="1"/>
  <c r="S110" i="3"/>
  <c r="T110" i="3" s="1"/>
  <c r="S108" i="3"/>
  <c r="T108" i="3" s="1"/>
  <c r="I197" i="3"/>
  <c r="J197" i="3" s="1"/>
  <c r="I35" i="3"/>
  <c r="J35" i="3" s="1"/>
  <c r="S132" i="3"/>
  <c r="T132" i="3" s="1"/>
  <c r="S59" i="3"/>
  <c r="T59" i="3" s="1"/>
  <c r="S21" i="3"/>
  <c r="T21" i="3" s="1"/>
  <c r="W29" i="3" s="1"/>
  <c r="I151" i="3"/>
  <c r="J151" i="3" s="1"/>
  <c r="I133" i="3"/>
  <c r="J133" i="3" s="1"/>
  <c r="I115" i="3"/>
  <c r="J115" i="3" s="1"/>
  <c r="I97" i="3"/>
  <c r="J97" i="3" s="1"/>
  <c r="I61" i="3"/>
  <c r="J61" i="3" s="1"/>
  <c r="I43" i="3"/>
  <c r="J43" i="3" s="1"/>
  <c r="I37" i="3"/>
  <c r="J37" i="3" s="1"/>
  <c r="I25" i="3"/>
  <c r="J25" i="3" s="1"/>
  <c r="I19" i="3"/>
  <c r="J19" i="3" s="1"/>
  <c r="I7" i="3"/>
  <c r="J7" i="3" s="1"/>
  <c r="S147" i="3"/>
  <c r="T147" i="3" s="1"/>
  <c r="S140" i="3"/>
  <c r="T140" i="3" s="1"/>
  <c r="S134" i="3"/>
  <c r="T134" i="3" s="1"/>
  <c r="S128" i="3"/>
  <c r="T128" i="3" s="1"/>
  <c r="S122" i="3"/>
  <c r="T122" i="3" s="1"/>
  <c r="S116" i="3"/>
  <c r="T116" i="3" s="1"/>
  <c r="S104" i="3"/>
  <c r="T104" i="3" s="1"/>
  <c r="S98" i="3"/>
  <c r="T98" i="3" s="1"/>
  <c r="S92" i="3"/>
  <c r="T92" i="3" s="1"/>
  <c r="S86" i="3"/>
  <c r="T86" i="3" s="1"/>
  <c r="S80" i="3"/>
  <c r="T80" i="3" s="1"/>
  <c r="S73" i="3"/>
  <c r="T73" i="3" s="1"/>
  <c r="S67" i="3"/>
  <c r="T67" i="3" s="1"/>
  <c r="S61" i="3"/>
  <c r="T61" i="3" s="1"/>
  <c r="S49" i="3"/>
  <c r="T49" i="3" s="1"/>
  <c r="S35" i="3"/>
  <c r="T35" i="3" s="1"/>
  <c r="S29" i="3"/>
  <c r="T29" i="3" s="1"/>
  <c r="S23" i="3"/>
  <c r="T23" i="3" s="1"/>
  <c r="S16" i="3"/>
  <c r="T16" i="3" s="1"/>
  <c r="S10" i="3"/>
  <c r="T10" i="3" s="1"/>
  <c r="Q146" i="3"/>
  <c r="R146" i="3" s="1"/>
  <c r="Q133" i="3"/>
  <c r="R133" i="3" s="1"/>
  <c r="Q121" i="3"/>
  <c r="R121" i="3" s="1"/>
  <c r="Q109" i="3"/>
  <c r="R109" i="3" s="1"/>
  <c r="Q97" i="3"/>
  <c r="R97" i="3" s="1"/>
  <c r="Q85" i="3"/>
  <c r="R85" i="3" s="1"/>
  <c r="Q72" i="3"/>
  <c r="R72" i="3" s="1"/>
  <c r="Q60" i="3"/>
  <c r="R60" i="3" s="1"/>
  <c r="Q48" i="3"/>
  <c r="R48" i="3" s="1"/>
  <c r="Q34" i="3"/>
  <c r="R34" i="3" s="1"/>
  <c r="Q22" i="3"/>
  <c r="R22" i="3" s="1"/>
  <c r="Q9" i="3"/>
  <c r="R9" i="3" s="1"/>
  <c r="Q132" i="3"/>
  <c r="R132" i="3" s="1"/>
  <c r="Q71" i="3"/>
  <c r="R71" i="3" s="1"/>
  <c r="Q59" i="3"/>
  <c r="R59" i="3" s="1"/>
  <c r="Q33" i="3"/>
  <c r="R33" i="3" s="1"/>
  <c r="Q21" i="3"/>
  <c r="R21" i="3" s="1"/>
  <c r="Q8" i="3"/>
  <c r="R8" i="3" s="1"/>
  <c r="I185" i="3"/>
  <c r="J185" i="3" s="1"/>
  <c r="I161" i="3"/>
  <c r="J161" i="3" s="1"/>
  <c r="I149" i="3"/>
  <c r="J149" i="3" s="1"/>
  <c r="I143" i="3"/>
  <c r="J143" i="3" s="1"/>
  <c r="I125" i="3"/>
  <c r="J125" i="3" s="1"/>
  <c r="I113" i="3"/>
  <c r="J113" i="3" s="1"/>
  <c r="I107" i="3"/>
  <c r="J107" i="3" s="1"/>
  <c r="I95" i="3"/>
  <c r="J95" i="3" s="1"/>
  <c r="I89" i="3"/>
  <c r="J89" i="3" s="1"/>
  <c r="I59" i="3"/>
  <c r="J59" i="3" s="1"/>
  <c r="I53" i="3"/>
  <c r="J53" i="3" s="1"/>
  <c r="I17" i="3"/>
  <c r="J17" i="3" s="1"/>
  <c r="I5" i="3"/>
  <c r="J5" i="3" s="1"/>
  <c r="S138" i="3"/>
  <c r="T138" i="3" s="1"/>
  <c r="S102" i="3"/>
  <c r="T102" i="3" s="1"/>
  <c r="S96" i="3"/>
  <c r="T96" i="3" s="1"/>
  <c r="S78" i="3"/>
  <c r="T78" i="3" s="1"/>
  <c r="S53" i="3"/>
  <c r="T53" i="3" s="1"/>
  <c r="S47" i="3"/>
  <c r="T47" i="3" s="1"/>
  <c r="S33" i="3"/>
  <c r="T33" i="3" s="1"/>
  <c r="S27" i="3"/>
  <c r="T27" i="3" s="1"/>
  <c r="S8" i="3"/>
  <c r="T8" i="3" s="1"/>
  <c r="G179" i="3"/>
  <c r="H179" i="3" s="1"/>
  <c r="G95" i="3"/>
  <c r="H95" i="3" s="1"/>
  <c r="G23" i="3"/>
  <c r="H23" i="3" s="1"/>
  <c r="Q78" i="3"/>
  <c r="R78" i="3" s="1"/>
  <c r="Q53" i="3"/>
  <c r="R53" i="3" s="1"/>
  <c r="I131" i="3"/>
  <c r="J131" i="3" s="1"/>
  <c r="Q4" i="3"/>
  <c r="R4" i="3" s="1"/>
  <c r="G202" i="3"/>
  <c r="H202" i="3" s="1"/>
  <c r="G196" i="3"/>
  <c r="H196" i="3" s="1"/>
  <c r="G190" i="3"/>
  <c r="H190" i="3" s="1"/>
  <c r="G184" i="3"/>
  <c r="H184" i="3" s="1"/>
  <c r="G178" i="3"/>
  <c r="H178" i="3" s="1"/>
  <c r="G172" i="3"/>
  <c r="H172" i="3" s="1"/>
  <c r="G166" i="3"/>
  <c r="H166" i="3" s="1"/>
  <c r="G160" i="3"/>
  <c r="H160" i="3" s="1"/>
  <c r="G154" i="3"/>
  <c r="H154" i="3" s="1"/>
  <c r="G148" i="3"/>
  <c r="H148" i="3" s="1"/>
  <c r="G142" i="3"/>
  <c r="H142" i="3" s="1"/>
  <c r="G136" i="3"/>
  <c r="H136" i="3" s="1"/>
  <c r="G130" i="3"/>
  <c r="H130" i="3" s="1"/>
  <c r="G124" i="3"/>
  <c r="H124" i="3" s="1"/>
  <c r="G118" i="3"/>
  <c r="H118" i="3" s="1"/>
  <c r="G112" i="3"/>
  <c r="H112" i="3" s="1"/>
  <c r="G106" i="3"/>
  <c r="H106" i="3" s="1"/>
  <c r="G100" i="3"/>
  <c r="H100" i="3" s="1"/>
  <c r="G94" i="3"/>
  <c r="H94" i="3" s="1"/>
  <c r="G88" i="3"/>
  <c r="H88" i="3" s="1"/>
  <c r="G82" i="3"/>
  <c r="H82" i="3" s="1"/>
  <c r="G76" i="3"/>
  <c r="H76" i="3" s="1"/>
  <c r="G70" i="3"/>
  <c r="H70" i="3" s="1"/>
  <c r="G52" i="3"/>
  <c r="H52" i="3" s="1"/>
  <c r="G34" i="3"/>
  <c r="H34" i="3" s="1"/>
  <c r="G16" i="3"/>
  <c r="H16" i="3" s="1"/>
  <c r="Q137" i="3"/>
  <c r="R137" i="3" s="1"/>
  <c r="Q89" i="3"/>
  <c r="R89" i="3" s="1"/>
  <c r="Q77" i="3"/>
  <c r="R77" i="3" s="1"/>
  <c r="Q64" i="3"/>
  <c r="R64" i="3" s="1"/>
  <c r="Q13" i="3"/>
  <c r="R13" i="3" s="1"/>
  <c r="Q140" i="3"/>
  <c r="R140" i="3" s="1"/>
  <c r="Q116" i="3"/>
  <c r="R116" i="3" s="1"/>
  <c r="Q80" i="3"/>
  <c r="R80" i="3" s="1"/>
  <c r="Q67" i="3"/>
  <c r="R67" i="3" s="1"/>
  <c r="Q55" i="3"/>
  <c r="R55" i="3" s="1"/>
  <c r="Q42" i="3"/>
  <c r="R42" i="3" s="1"/>
  <c r="I123" i="3"/>
  <c r="J123" i="3" s="1"/>
  <c r="I105" i="3"/>
  <c r="J105" i="3" s="1"/>
  <c r="I99" i="3"/>
  <c r="J99" i="3" s="1"/>
  <c r="I81" i="3"/>
  <c r="J81" i="3" s="1"/>
  <c r="I69" i="3"/>
  <c r="J69" i="3" s="1"/>
  <c r="I51" i="3"/>
  <c r="J51" i="3" s="1"/>
  <c r="I33" i="3"/>
  <c r="J33" i="3" s="1"/>
  <c r="G151" i="3"/>
  <c r="H151" i="3" s="1"/>
  <c r="G115" i="3"/>
  <c r="H115" i="3" s="1"/>
  <c r="G79" i="3"/>
  <c r="H79" i="3" s="1"/>
  <c r="G43" i="3"/>
  <c r="H43" i="3" s="1"/>
  <c r="G201" i="3"/>
  <c r="H201" i="3" s="1"/>
  <c r="G189" i="3"/>
  <c r="H189" i="3" s="1"/>
  <c r="G177" i="3"/>
  <c r="H177" i="3" s="1"/>
  <c r="G165" i="3"/>
  <c r="H165" i="3" s="1"/>
  <c r="G153" i="3"/>
  <c r="H153" i="3" s="1"/>
  <c r="G141" i="3"/>
  <c r="H141" i="3" s="1"/>
  <c r="G129" i="3"/>
  <c r="H129" i="3" s="1"/>
  <c r="G117" i="3"/>
  <c r="H117" i="3" s="1"/>
  <c r="G105" i="3"/>
  <c r="H105" i="3" s="1"/>
  <c r="G93" i="3"/>
  <c r="H93" i="3" s="1"/>
  <c r="G81" i="3"/>
  <c r="H81" i="3" s="1"/>
  <c r="G69" i="3"/>
  <c r="H69" i="3" s="1"/>
  <c r="G57" i="3"/>
  <c r="H57" i="3" s="1"/>
  <c r="G45" i="3"/>
  <c r="H45" i="3" s="1"/>
  <c r="G33" i="3"/>
  <c r="H33" i="3" s="1"/>
  <c r="G21" i="3"/>
  <c r="H21" i="3" s="1"/>
  <c r="G9" i="3"/>
  <c r="H9" i="3" s="1"/>
  <c r="G186" i="3"/>
  <c r="H186" i="3" s="1"/>
  <c r="G174" i="3"/>
  <c r="H174" i="3" s="1"/>
  <c r="G162" i="3"/>
  <c r="H162" i="3" s="1"/>
  <c r="G150" i="3"/>
  <c r="H150" i="3" s="1"/>
  <c r="G138" i="3"/>
  <c r="H138" i="3" s="1"/>
  <c r="G126" i="3"/>
  <c r="H126" i="3" s="1"/>
  <c r="G114" i="3"/>
  <c r="H114" i="3" s="1"/>
  <c r="G102" i="3"/>
  <c r="H102" i="3" s="1"/>
  <c r="G90" i="3"/>
  <c r="H90" i="3" s="1"/>
  <c r="G78" i="3"/>
  <c r="H78" i="3" s="1"/>
  <c r="G66" i="3"/>
  <c r="H66" i="3" s="1"/>
  <c r="G54" i="3"/>
  <c r="H54" i="3" s="1"/>
  <c r="G30" i="3"/>
  <c r="H30" i="3" s="1"/>
  <c r="G18" i="3"/>
  <c r="H18" i="3" s="1"/>
  <c r="G6" i="3"/>
  <c r="H6" i="3" s="1"/>
  <c r="Q139" i="3"/>
  <c r="R139" i="3" s="1"/>
  <c r="Q127" i="3"/>
  <c r="R127" i="3" s="1"/>
  <c r="Q115" i="3"/>
  <c r="R115" i="3" s="1"/>
  <c r="Q103" i="3"/>
  <c r="R103" i="3" s="1"/>
  <c r="S4" i="3"/>
  <c r="T4" i="3" s="1"/>
  <c r="W28" i="3" s="1"/>
  <c r="S131" i="3"/>
  <c r="T131" i="3" s="1"/>
  <c r="S58" i="3"/>
  <c r="T58" i="3" s="1"/>
  <c r="Q141" i="3"/>
  <c r="R141" i="3" s="1"/>
  <c r="Q129" i="3"/>
  <c r="R129" i="3" s="1"/>
  <c r="Q117" i="3"/>
  <c r="R117" i="3" s="1"/>
  <c r="Q105" i="3"/>
  <c r="R105" i="3" s="1"/>
  <c r="Q93" i="3"/>
  <c r="R93" i="3" s="1"/>
  <c r="Q81" i="3"/>
  <c r="R81" i="3" s="1"/>
  <c r="Q68" i="3"/>
  <c r="R68" i="3" s="1"/>
  <c r="Q56" i="3"/>
  <c r="R56" i="3" s="1"/>
  <c r="Q44" i="3"/>
  <c r="R44" i="3" s="1"/>
  <c r="Q30" i="3"/>
  <c r="R30" i="3" s="1"/>
  <c r="Q17" i="3"/>
  <c r="R17" i="3" s="1"/>
  <c r="Q5" i="3"/>
  <c r="R5" i="3" s="1"/>
  <c r="G187" i="3"/>
  <c r="H187" i="3" s="1"/>
  <c r="G175" i="3"/>
  <c r="H175" i="3" s="1"/>
  <c r="G163" i="3"/>
  <c r="H163" i="3" s="1"/>
  <c r="G139" i="3"/>
  <c r="H139" i="3" s="1"/>
  <c r="G127" i="3"/>
  <c r="H127" i="3" s="1"/>
  <c r="G103" i="3"/>
  <c r="H103" i="3" s="1"/>
  <c r="G91" i="3"/>
  <c r="H91" i="3" s="1"/>
  <c r="G67" i="3"/>
  <c r="H67" i="3" s="1"/>
  <c r="G55" i="3"/>
  <c r="H55" i="3" s="1"/>
  <c r="G31" i="3"/>
  <c r="H31" i="3" s="1"/>
  <c r="G19" i="3"/>
  <c r="H19" i="3" s="1"/>
  <c r="G7" i="3"/>
  <c r="H7" i="3" s="1"/>
  <c r="Q104" i="3"/>
  <c r="R104" i="3" s="1"/>
  <c r="Q92" i="3"/>
  <c r="R92" i="3" s="1"/>
  <c r="Q29" i="3"/>
  <c r="R29" i="3" s="1"/>
  <c r="Q16" i="3"/>
  <c r="R16" i="3" s="1"/>
  <c r="I204" i="3"/>
  <c r="J204" i="3" s="1"/>
  <c r="I198" i="3"/>
  <c r="J198" i="3" s="1"/>
  <c r="I192" i="3"/>
  <c r="J192" i="3" s="1"/>
  <c r="I186" i="3"/>
  <c r="J186" i="3" s="1"/>
  <c r="I180" i="3"/>
  <c r="J180" i="3" s="1"/>
  <c r="I174" i="3"/>
  <c r="J174" i="3" s="1"/>
  <c r="Q91" i="3"/>
  <c r="R91" i="3" s="1"/>
  <c r="Q79" i="3"/>
  <c r="R79" i="3" s="1"/>
  <c r="Q66" i="3"/>
  <c r="R66" i="3" s="1"/>
  <c r="Q54" i="3"/>
  <c r="R54" i="3" s="1"/>
  <c r="Q41" i="3"/>
  <c r="R41" i="3" s="1"/>
  <c r="Q28" i="3"/>
  <c r="R28" i="3" s="1"/>
  <c r="Q15" i="3"/>
  <c r="R15" i="3" s="1"/>
  <c r="G203" i="3"/>
  <c r="H203" i="3" s="1"/>
  <c r="I191" i="3"/>
  <c r="J191" i="3" s="1"/>
  <c r="I173" i="3"/>
  <c r="J173" i="3" s="1"/>
  <c r="I155" i="3"/>
  <c r="J155" i="3" s="1"/>
  <c r="I137" i="3"/>
  <c r="J137" i="3" s="1"/>
  <c r="I119" i="3"/>
  <c r="J119" i="3" s="1"/>
  <c r="I101" i="3"/>
  <c r="J101" i="3" s="1"/>
  <c r="I83" i="3"/>
  <c r="J83" i="3" s="1"/>
  <c r="I65" i="3"/>
  <c r="J65" i="3" s="1"/>
  <c r="I47" i="3"/>
  <c r="J47" i="3" s="1"/>
  <c r="I29" i="3"/>
  <c r="J29" i="3" s="1"/>
  <c r="G17" i="3"/>
  <c r="H17" i="3" s="1"/>
  <c r="G11" i="3"/>
  <c r="H11" i="3" s="1"/>
  <c r="Q145" i="3"/>
  <c r="R145" i="3" s="1"/>
  <c r="S120" i="3"/>
  <c r="T120" i="3" s="1"/>
  <c r="S114" i="3"/>
  <c r="T114" i="3" s="1"/>
  <c r="Q90" i="3"/>
  <c r="R90" i="3" s="1"/>
  <c r="Q84" i="3"/>
  <c r="R84" i="3" s="1"/>
  <c r="G47" i="3"/>
  <c r="H47" i="3" s="1"/>
  <c r="Q114" i="3"/>
  <c r="R114" i="3" s="1"/>
  <c r="I4" i="3"/>
  <c r="J4" i="3" s="1"/>
  <c r="G200" i="3"/>
  <c r="H200" i="3" s="1"/>
  <c r="G188" i="3"/>
  <c r="H188" i="3" s="1"/>
  <c r="G176" i="3"/>
  <c r="H176" i="3" s="1"/>
  <c r="G164" i="3"/>
  <c r="H164" i="3" s="1"/>
  <c r="G152" i="3"/>
  <c r="H152" i="3" s="1"/>
  <c r="I141" i="3"/>
  <c r="J141" i="3" s="1"/>
  <c r="G193" i="3"/>
  <c r="H193" i="3" s="1"/>
  <c r="I193" i="3"/>
  <c r="J193" i="3" s="1"/>
  <c r="I177" i="3"/>
  <c r="J177" i="3" s="1"/>
  <c r="I195" i="3"/>
  <c r="J195" i="3" s="1"/>
  <c r="I171" i="3"/>
  <c r="J171" i="3" s="1"/>
  <c r="I153" i="3"/>
  <c r="J153" i="3" s="1"/>
  <c r="I189" i="3"/>
  <c r="J189" i="3" s="1"/>
  <c r="I202" i="3"/>
  <c r="J202" i="3" s="1"/>
  <c r="I190" i="3"/>
  <c r="J190" i="3" s="1"/>
  <c r="I184" i="3"/>
  <c r="J184" i="3" s="1"/>
  <c r="I172" i="3"/>
  <c r="J172" i="3" s="1"/>
  <c r="I166" i="3"/>
  <c r="J166" i="3" s="1"/>
  <c r="I154" i="3"/>
  <c r="J154" i="3" s="1"/>
  <c r="I148" i="3"/>
  <c r="J148" i="3" s="1"/>
  <c r="I136" i="3"/>
  <c r="J136" i="3" s="1"/>
  <c r="I130" i="3"/>
  <c r="J130" i="3" s="1"/>
  <c r="I118" i="3"/>
  <c r="J118" i="3" s="1"/>
  <c r="I112" i="3"/>
  <c r="J112" i="3" s="1"/>
  <c r="I100" i="3"/>
  <c r="I94" i="3"/>
  <c r="J94" i="3" s="1"/>
  <c r="I82" i="3"/>
  <c r="J82" i="3" s="1"/>
  <c r="I76" i="3"/>
  <c r="J76" i="3" s="1"/>
  <c r="I187" i="3"/>
  <c r="J187" i="3" s="1"/>
  <c r="I70" i="3"/>
  <c r="S137" i="3"/>
  <c r="T137" i="3" s="1"/>
  <c r="S64" i="3"/>
  <c r="T64" i="3" s="1"/>
  <c r="G199" i="3"/>
  <c r="H199" i="3" s="1"/>
  <c r="I199" i="3"/>
  <c r="J199" i="3" s="1"/>
  <c r="G198" i="3"/>
  <c r="H198" i="3" s="1"/>
  <c r="G40" i="3"/>
  <c r="H40" i="3" s="1"/>
  <c r="I40" i="3"/>
  <c r="J40" i="3" s="1"/>
  <c r="G22" i="3"/>
  <c r="H22" i="3" s="1"/>
  <c r="I22" i="3"/>
  <c r="J22" i="3" s="1"/>
  <c r="Q144" i="3"/>
  <c r="R144" i="3" s="1"/>
  <c r="S144" i="3"/>
  <c r="T144" i="3" s="1"/>
  <c r="Q125" i="3"/>
  <c r="R125" i="3" s="1"/>
  <c r="S125" i="3"/>
  <c r="T125" i="3" s="1"/>
  <c r="S113" i="3"/>
  <c r="T113" i="3" s="1"/>
  <c r="Q113" i="3"/>
  <c r="R113" i="3" s="1"/>
  <c r="Q101" i="3"/>
  <c r="R101" i="3" s="1"/>
  <c r="S101" i="3"/>
  <c r="T101" i="3" s="1"/>
  <c r="Q95" i="3"/>
  <c r="R95" i="3" s="1"/>
  <c r="S95" i="3"/>
  <c r="T95" i="3" s="1"/>
  <c r="Q83" i="3"/>
  <c r="R83" i="3" s="1"/>
  <c r="S83" i="3"/>
  <c r="T83" i="3" s="1"/>
  <c r="Q70" i="3"/>
  <c r="R70" i="3" s="1"/>
  <c r="S70" i="3"/>
  <c r="T70" i="3" s="1"/>
  <c r="Q52" i="3"/>
  <c r="R52" i="3" s="1"/>
  <c r="S52" i="3"/>
  <c r="T52" i="3" s="1"/>
  <c r="S39" i="3"/>
  <c r="T39" i="3" s="1"/>
  <c r="W30" i="3" s="1"/>
  <c r="Q39" i="3"/>
  <c r="R39" i="3" s="1"/>
  <c r="Q26" i="3"/>
  <c r="R26" i="3" s="1"/>
  <c r="S26" i="3"/>
  <c r="T26" i="3" s="1"/>
  <c r="Q20" i="3"/>
  <c r="R20" i="3" s="1"/>
  <c r="S20" i="3"/>
  <c r="T20" i="3" s="1"/>
  <c r="Q7" i="3"/>
  <c r="R7" i="3" s="1"/>
  <c r="S7" i="3"/>
  <c r="T7" i="3" s="1"/>
  <c r="I205" i="3"/>
  <c r="J205" i="3" s="1"/>
  <c r="I87" i="3"/>
  <c r="J87" i="3" s="1"/>
  <c r="I63" i="3"/>
  <c r="J63" i="3" s="1"/>
  <c r="I45" i="3"/>
  <c r="J45" i="3" s="1"/>
  <c r="I159" i="3"/>
  <c r="J159" i="3" s="1"/>
  <c r="I135" i="3"/>
  <c r="J135" i="3" s="1"/>
  <c r="I117" i="3"/>
  <c r="J117" i="3" s="1"/>
  <c r="G64" i="3"/>
  <c r="H64" i="3" s="1"/>
  <c r="I64" i="3"/>
  <c r="J64" i="3" s="1"/>
  <c r="G58" i="3"/>
  <c r="H58" i="3" s="1"/>
  <c r="I58" i="3"/>
  <c r="J58" i="3" s="1"/>
  <c r="G46" i="3"/>
  <c r="H46" i="3" s="1"/>
  <c r="I46" i="3"/>
  <c r="J46" i="3" s="1"/>
  <c r="G28" i="3"/>
  <c r="H28" i="3" s="1"/>
  <c r="I28" i="3"/>
  <c r="J28" i="3" s="1"/>
  <c r="G10" i="3"/>
  <c r="H10" i="3" s="1"/>
  <c r="I10" i="3"/>
  <c r="J10" i="3" s="1"/>
  <c r="I201" i="3"/>
  <c r="J201" i="3" s="1"/>
  <c r="I183" i="3"/>
  <c r="J183" i="3" s="1"/>
  <c r="I165" i="3"/>
  <c r="J165" i="3" s="1"/>
  <c r="I147" i="3"/>
  <c r="J147" i="3" s="1"/>
  <c r="I129" i="3"/>
  <c r="J129" i="3" s="1"/>
  <c r="I111" i="3"/>
  <c r="J111" i="3" s="1"/>
  <c r="I93" i="3"/>
  <c r="J93" i="3" s="1"/>
  <c r="I75" i="3"/>
  <c r="J75" i="3" s="1"/>
  <c r="I57" i="3"/>
  <c r="J57" i="3" s="1"/>
  <c r="I39" i="3"/>
  <c r="J39" i="3" s="1"/>
  <c r="I27" i="3"/>
  <c r="J27" i="3" s="1"/>
  <c r="I21" i="3"/>
  <c r="J21" i="3" s="1"/>
  <c r="I15" i="3"/>
  <c r="J15" i="3" s="1"/>
  <c r="I9" i="3"/>
  <c r="J9" i="3" s="1"/>
  <c r="S149" i="3"/>
  <c r="T149" i="3" s="1"/>
  <c r="S143" i="3"/>
  <c r="T143" i="3" s="1"/>
  <c r="S136" i="3"/>
  <c r="T136" i="3" s="1"/>
  <c r="S130" i="3"/>
  <c r="T130" i="3" s="1"/>
  <c r="S124" i="3"/>
  <c r="T124" i="3" s="1"/>
  <c r="S118" i="3"/>
  <c r="T118" i="3" s="1"/>
  <c r="S112" i="3"/>
  <c r="T112" i="3" s="1"/>
  <c r="S106" i="3"/>
  <c r="T106" i="3" s="1"/>
  <c r="S100" i="3"/>
  <c r="T100" i="3" s="1"/>
  <c r="S94" i="3"/>
  <c r="T94" i="3" s="1"/>
  <c r="S88" i="3"/>
  <c r="T88" i="3" s="1"/>
  <c r="S82" i="3"/>
  <c r="T82" i="3" s="1"/>
  <c r="S76" i="3"/>
  <c r="T76" i="3" s="1"/>
  <c r="W31" i="3" s="1"/>
  <c r="S69" i="3"/>
  <c r="T69" i="3" s="1"/>
  <c r="S63" i="3"/>
  <c r="T63" i="3" s="1"/>
  <c r="S57" i="3"/>
  <c r="T57" i="3" s="1"/>
  <c r="S51" i="3"/>
  <c r="T51" i="3" s="1"/>
  <c r="S45" i="3"/>
  <c r="T45" i="3" s="1"/>
  <c r="S38" i="3"/>
  <c r="T38" i="3" s="1"/>
  <c r="S31" i="3"/>
  <c r="T31" i="3" s="1"/>
  <c r="S25" i="3"/>
  <c r="T25" i="3" s="1"/>
  <c r="S18" i="3"/>
  <c r="T18" i="3" s="1"/>
  <c r="S12" i="3"/>
  <c r="T12" i="3" s="1"/>
  <c r="S6" i="3"/>
  <c r="T6" i="3" s="1"/>
  <c r="Q131" i="3"/>
  <c r="R131" i="3" s="1"/>
  <c r="Q58" i="3"/>
  <c r="R58" i="3" s="1"/>
  <c r="I181" i="3"/>
  <c r="J181" i="3" s="1"/>
  <c r="I163" i="3"/>
  <c r="J163" i="3" s="1"/>
  <c r="I145" i="3"/>
  <c r="J145" i="3" s="1"/>
  <c r="I127" i="3"/>
  <c r="J127" i="3" s="1"/>
  <c r="I109" i="3"/>
  <c r="J109" i="3" s="1"/>
  <c r="I91" i="3"/>
  <c r="J91" i="3" s="1"/>
  <c r="I73" i="3"/>
  <c r="J73" i="3" s="1"/>
  <c r="I55" i="3"/>
  <c r="J55" i="3" s="1"/>
  <c r="G140" i="3"/>
  <c r="H140" i="3" s="1"/>
  <c r="G128" i="3"/>
  <c r="H128" i="3" s="1"/>
  <c r="G116" i="3"/>
  <c r="H116" i="3" s="1"/>
  <c r="G104" i="3"/>
  <c r="H104" i="3" s="1"/>
  <c r="G92" i="3"/>
  <c r="H92" i="3" s="1"/>
  <c r="G80" i="3"/>
  <c r="H80" i="3" s="1"/>
  <c r="G68" i="3"/>
  <c r="H68" i="3" s="1"/>
  <c r="G56" i="3"/>
  <c r="H56" i="3" s="1"/>
  <c r="G44" i="3"/>
  <c r="H44" i="3" s="1"/>
  <c r="G32" i="3"/>
  <c r="H32" i="3" s="1"/>
  <c r="G20" i="3"/>
  <c r="H20" i="3" s="1"/>
  <c r="G8" i="3"/>
  <c r="H8" i="3" s="1"/>
  <c r="I175" i="3"/>
  <c r="J175" i="3" s="1"/>
  <c r="I157" i="3"/>
  <c r="J157" i="3" s="1"/>
  <c r="I139" i="3"/>
  <c r="J139" i="3" s="1"/>
  <c r="I121" i="3"/>
  <c r="J121" i="3" s="1"/>
  <c r="I103" i="3"/>
  <c r="J103" i="3" s="1"/>
  <c r="I85" i="3"/>
  <c r="J85" i="3" s="1"/>
  <c r="I67" i="3"/>
  <c r="J67" i="3" s="1"/>
  <c r="I49" i="3"/>
  <c r="J49" i="3" s="1"/>
  <c r="I31" i="3"/>
  <c r="J31" i="3" s="1"/>
  <c r="S145" i="3"/>
  <c r="T145" i="3" s="1"/>
  <c r="I168" i="3"/>
  <c r="J168" i="3" s="1"/>
  <c r="I162" i="3"/>
  <c r="J162" i="3" s="1"/>
  <c r="I156" i="3"/>
  <c r="J156" i="3" s="1"/>
  <c r="I150" i="3"/>
  <c r="J150" i="3" s="1"/>
  <c r="I144" i="3"/>
  <c r="J144" i="3" s="1"/>
  <c r="I138" i="3"/>
  <c r="J138" i="3" s="1"/>
  <c r="I132" i="3"/>
  <c r="J132" i="3" s="1"/>
  <c r="I126" i="3"/>
  <c r="J126" i="3" s="1"/>
  <c r="I120" i="3"/>
  <c r="J120" i="3" s="1"/>
  <c r="I114" i="3"/>
  <c r="J114" i="3" s="1"/>
  <c r="I108" i="3"/>
  <c r="J108" i="3" s="1"/>
  <c r="I102" i="3"/>
  <c r="J102" i="3" s="1"/>
  <c r="I96" i="3"/>
  <c r="K96" i="3" s="1"/>
  <c r="I90" i="3"/>
  <c r="J90" i="3" s="1"/>
  <c r="I84" i="3"/>
  <c r="J84" i="3" s="1"/>
  <c r="I78" i="3"/>
  <c r="J78" i="3" s="1"/>
  <c r="I72" i="3"/>
  <c r="J72" i="3" s="1"/>
  <c r="I66" i="3"/>
  <c r="J66" i="3" s="1"/>
  <c r="I60" i="3"/>
  <c r="J60" i="3" s="1"/>
  <c r="I54" i="3"/>
  <c r="J54" i="3" s="1"/>
  <c r="I48" i="3"/>
  <c r="J48" i="3" s="1"/>
  <c r="I42" i="3"/>
  <c r="J42" i="3" s="1"/>
  <c r="I36" i="3"/>
  <c r="J36" i="3" s="1"/>
  <c r="I30" i="3"/>
  <c r="J30" i="3" s="1"/>
  <c r="I24" i="3"/>
  <c r="J24" i="3" s="1"/>
  <c r="I18" i="3"/>
  <c r="J18" i="3" s="1"/>
  <c r="I12" i="3"/>
  <c r="J12" i="3" s="1"/>
  <c r="I6" i="3"/>
  <c r="J6" i="3" s="1"/>
  <c r="S146" i="3"/>
  <c r="T146" i="3" s="1"/>
  <c r="S139" i="3"/>
  <c r="T139" i="3" s="1"/>
  <c r="S133" i="3"/>
  <c r="T133" i="3" s="1"/>
  <c r="S127" i="3"/>
  <c r="T127" i="3" s="1"/>
  <c r="S121" i="3"/>
  <c r="T121" i="3" s="1"/>
  <c r="S115" i="3"/>
  <c r="T115" i="3" s="1"/>
  <c r="S109" i="3"/>
  <c r="T109" i="3" s="1"/>
  <c r="S103" i="3"/>
  <c r="T103" i="3" s="1"/>
  <c r="S97" i="3"/>
  <c r="T97" i="3" s="1"/>
  <c r="S91" i="3"/>
  <c r="T91" i="3" s="1"/>
  <c r="S85" i="3"/>
  <c r="T85" i="3" s="1"/>
  <c r="S79" i="3"/>
  <c r="T79" i="3" s="1"/>
  <c r="S72" i="3"/>
  <c r="T72" i="3" s="1"/>
  <c r="S66" i="3"/>
  <c r="T66" i="3" s="1"/>
  <c r="S60" i="3"/>
  <c r="T60" i="3" s="1"/>
  <c r="S54" i="3"/>
  <c r="T54" i="3" s="1"/>
  <c r="S48" i="3"/>
  <c r="T48" i="3" s="1"/>
  <c r="S41" i="3"/>
  <c r="T41" i="3" s="1"/>
  <c r="S34" i="3"/>
  <c r="T34" i="3" s="1"/>
  <c r="S28" i="3"/>
  <c r="T28" i="3" s="1"/>
  <c r="S22" i="3"/>
  <c r="T22" i="3" s="1"/>
  <c r="S15" i="3"/>
  <c r="T15" i="3" s="1"/>
  <c r="S9" i="3"/>
  <c r="T9" i="3" s="1"/>
  <c r="K84" i="3" l="1"/>
  <c r="J70" i="3"/>
  <c r="J100" i="3"/>
  <c r="K100" i="3"/>
  <c r="J96" i="3"/>
</calcChain>
</file>

<file path=xl/sharedStrings.xml><?xml version="1.0" encoding="utf-8"?>
<sst xmlns="http://schemas.openxmlformats.org/spreadsheetml/2006/main" count="2230" uniqueCount="759">
  <si>
    <t>연결계정</t>
  </si>
  <si>
    <t>연결계정명</t>
  </si>
  <si>
    <t>전년동기(월)</t>
  </si>
  <si>
    <t>전년동기(누적)</t>
  </si>
  <si>
    <t>전년말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</si>
  <si>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</si>
  <si>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</si>
  <si>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</si>
  <si>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</si>
  <si>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</si>
  <si>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</si>
  <si>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</si>
  <si>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</si>
  <si>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</si>
  <si>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</si>
  <si>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</si>
  <si>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</si>
  <si>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회계연월당기</t>
  </si>
  <si>
    <t>증감(회계연월당기-전년말)</t>
  </si>
  <si>
    <t>실계정정구분</t>
  </si>
  <si>
    <t>FP01</t>
  </si>
  <si>
    <t>자산</t>
  </si>
  <si>
    <t>FP01-01</t>
  </si>
  <si>
    <t>유동자산</t>
  </si>
  <si>
    <t>FP01-01-01</t>
  </si>
  <si>
    <t>당좌자산</t>
  </si>
  <si>
    <t>FP01-01-01-0010</t>
  </si>
  <si>
    <t>현금및현금성자산</t>
  </si>
  <si>
    <t>FP01-01-01-0020</t>
  </si>
  <si>
    <t>국고보조금(현금)</t>
  </si>
  <si>
    <t>FP01-01-01-0030</t>
  </si>
  <si>
    <t>단기금융상품</t>
  </si>
  <si>
    <t>FP01-01-01-0040</t>
  </si>
  <si>
    <t>단기매매증권</t>
  </si>
  <si>
    <t>FP01-01-01-0050</t>
  </si>
  <si>
    <t>만기보유증권</t>
  </si>
  <si>
    <t>FP01-01-01-0060</t>
  </si>
  <si>
    <t>매도가능증권</t>
  </si>
  <si>
    <t>FP01-01-01-0070</t>
  </si>
  <si>
    <t>매출채권</t>
  </si>
  <si>
    <t>FP01-01-01-0080</t>
  </si>
  <si>
    <t>대손충당금(매출채권)</t>
  </si>
  <si>
    <t>FP01-01-01-0090</t>
  </si>
  <si>
    <t>현재가치할인차금(단기)</t>
  </si>
  <si>
    <t>FP01-01-01-0100</t>
  </si>
  <si>
    <t>미수금</t>
  </si>
  <si>
    <t>FP01-01-01-0110</t>
  </si>
  <si>
    <t>대손충당금(미수금)</t>
  </si>
  <si>
    <t>FP01-01-01-0120</t>
  </si>
  <si>
    <t>위법행위미수금</t>
  </si>
  <si>
    <t>FP01-01-01-0130</t>
  </si>
  <si>
    <t>대손충당금(위법행위미수금)</t>
  </si>
  <si>
    <t>FP01-01-01-0140</t>
  </si>
  <si>
    <t>단기대여금</t>
  </si>
  <si>
    <t>FP01-01-01-0150</t>
  </si>
  <si>
    <t>대손충당금(단기대여금)</t>
  </si>
  <si>
    <t>FP01-01-01-0160</t>
  </si>
  <si>
    <t>미수수익</t>
  </si>
  <si>
    <t>FP01-01-01-0170</t>
  </si>
  <si>
    <t>선급금</t>
  </si>
  <si>
    <t>FP01-01-01-0180</t>
  </si>
  <si>
    <t>대손충당금(선급금)</t>
  </si>
  <si>
    <t>FP01-01-01-0190</t>
  </si>
  <si>
    <t>선급비용</t>
  </si>
  <si>
    <t>FP01-01-01-0200</t>
  </si>
  <si>
    <t>선급법인세</t>
  </si>
  <si>
    <t>FP01-01-01-0210</t>
  </si>
  <si>
    <t>선급부가세</t>
  </si>
  <si>
    <t>FP01-01-01-0220</t>
  </si>
  <si>
    <t>파생상품(단기)</t>
  </si>
  <si>
    <t>FP01-01-01-0230</t>
  </si>
  <si>
    <t>반품계약자산</t>
  </si>
  <si>
    <t>FP01-01-01-0240</t>
  </si>
  <si>
    <t>수익인식자산</t>
  </si>
  <si>
    <t>FP01-01-01-0250</t>
  </si>
  <si>
    <t>매각예정자산</t>
  </si>
  <si>
    <t>FP01-01-01-0260</t>
  </si>
  <si>
    <t>기타당좌자산</t>
  </si>
  <si>
    <t>FP01-01-02</t>
  </si>
  <si>
    <t>재고자산</t>
  </si>
  <si>
    <t>FP01-01-02-0010</t>
  </si>
  <si>
    <t>상품</t>
  </si>
  <si>
    <t>FP01-01-02-0010-01</t>
  </si>
  <si>
    <t>본사상품매입분</t>
  </si>
  <si>
    <t>FP01-01-02-0010-02</t>
  </si>
  <si>
    <t>본사제품매입분</t>
  </si>
  <si>
    <t>FP01-01-02-0010-03</t>
  </si>
  <si>
    <t>미국제품매입분</t>
  </si>
  <si>
    <t>FP01-01-02-0010-04</t>
  </si>
  <si>
    <t>현지매입분</t>
  </si>
  <si>
    <t>FP01-01-02-0010-05</t>
  </si>
  <si>
    <t>기타관계사매입분</t>
  </si>
  <si>
    <t>FP01-01-02-0020</t>
  </si>
  <si>
    <t>상품충당금</t>
  </si>
  <si>
    <t>FP01-01-02-0030</t>
  </si>
  <si>
    <t>제품</t>
  </si>
  <si>
    <t>FP01-01-02-0040</t>
  </si>
  <si>
    <t>제품충당금</t>
  </si>
  <si>
    <t>FP01-01-02-0050</t>
  </si>
  <si>
    <t>반제품</t>
  </si>
  <si>
    <t>FP01-01-02-0060</t>
  </si>
  <si>
    <t>반제품충당금</t>
  </si>
  <si>
    <t>FP01-01-02-0070</t>
  </si>
  <si>
    <t>원재료</t>
  </si>
  <si>
    <t>FP01-01-02-0080</t>
  </si>
  <si>
    <t>원재료충당금</t>
  </si>
  <si>
    <t>FP01-01-02-0090</t>
  </si>
  <si>
    <t>부재료</t>
  </si>
  <si>
    <t>FP01-01-02-0100</t>
  </si>
  <si>
    <t>부재료충당금</t>
  </si>
  <si>
    <t>FP01-01-02-0110</t>
  </si>
  <si>
    <t>저장품</t>
  </si>
  <si>
    <t>FP01-01-02-0111</t>
  </si>
  <si>
    <t>저장품충당금</t>
  </si>
  <si>
    <t>FP01-01-02-0120</t>
  </si>
  <si>
    <t>미착품</t>
  </si>
  <si>
    <t>FP01-01-02-0130</t>
  </si>
  <si>
    <t>경품</t>
  </si>
  <si>
    <t>FP01-02</t>
  </si>
  <si>
    <t>비유동자산</t>
  </si>
  <si>
    <t>FP01-02-01</t>
  </si>
  <si>
    <t>투자자산</t>
  </si>
  <si>
    <t>FP01-02-01-0010</t>
  </si>
  <si>
    <t>장기성금융상품</t>
  </si>
  <si>
    <t>FP01-02-01-0020</t>
  </si>
  <si>
    <t>FP01-02-01-0030</t>
  </si>
  <si>
    <t>FP01-02-01-0040</t>
  </si>
  <si>
    <t>지분법적용투자주식</t>
  </si>
  <si>
    <t>FP01-02-01-0050</t>
  </si>
  <si>
    <t>투자부동산</t>
  </si>
  <si>
    <t>FP01-02-01-0060</t>
  </si>
  <si>
    <t>감가상각충당금(투자부동산)</t>
  </si>
  <si>
    <t>FP01-02-01-0070</t>
  </si>
  <si>
    <t>장기대여금</t>
  </si>
  <si>
    <t>FP01-02-01-0080</t>
  </si>
  <si>
    <t>대손충당금(장기대여금)</t>
  </si>
  <si>
    <t>FP01-02-01-0090</t>
  </si>
  <si>
    <t>파생상품(장기)</t>
  </si>
  <si>
    <t>FP01-02-01-0100</t>
  </si>
  <si>
    <t>장기선급금</t>
  </si>
  <si>
    <t>FP01-02-01-0110</t>
  </si>
  <si>
    <t>장기선급비용</t>
  </si>
  <si>
    <t>FP01-02-01-0120</t>
  </si>
  <si>
    <t>순확정급여자산</t>
  </si>
  <si>
    <t>FP01-02-02</t>
  </si>
  <si>
    <t>유형자산</t>
  </si>
  <si>
    <t>FP01-02-02-0010</t>
  </si>
  <si>
    <t>토지</t>
  </si>
  <si>
    <t>FP01-02-02-0020</t>
  </si>
  <si>
    <t>건물</t>
  </si>
  <si>
    <t>FP01-02-02-0030</t>
  </si>
  <si>
    <t>감가상각충당금(건물)</t>
  </si>
  <si>
    <t>FP01-02-02-0040</t>
  </si>
  <si>
    <t>구축물</t>
  </si>
  <si>
    <t>FP01-02-02-0050</t>
  </si>
  <si>
    <t>감가상각충당금(구축물)</t>
  </si>
  <si>
    <t>FP01-02-02-0060</t>
  </si>
  <si>
    <t>손상차손누계액(구축물)</t>
  </si>
  <si>
    <t>FP01-02-02-0070</t>
  </si>
  <si>
    <t>기계장치</t>
  </si>
  <si>
    <t>FP01-02-02-0080</t>
  </si>
  <si>
    <t>감가상각충당금(기계장치)</t>
  </si>
  <si>
    <t>FP01-02-02-0090</t>
  </si>
  <si>
    <t>손상차손누계액(기계장치)</t>
  </si>
  <si>
    <t>FP01-02-02-0100</t>
  </si>
  <si>
    <t>국고보조금(기계장치)</t>
  </si>
  <si>
    <t>FP01-02-02-0110</t>
  </si>
  <si>
    <t>차량운반구</t>
  </si>
  <si>
    <t>FP01-02-02-0120</t>
  </si>
  <si>
    <t>감가상각충당금(차량운반구)</t>
  </si>
  <si>
    <t>FP01-02-02-0130</t>
  </si>
  <si>
    <t>공구와기구</t>
  </si>
  <si>
    <t>FP01-02-02-0140</t>
  </si>
  <si>
    <t>감가상각충당금(공구와기구)</t>
  </si>
  <si>
    <t>FP01-02-02-0150</t>
  </si>
  <si>
    <t>손상차손누계액(공구와기구)</t>
  </si>
  <si>
    <t>FP01-02-02-0160</t>
  </si>
  <si>
    <t>집기비품</t>
  </si>
  <si>
    <t>FP01-02-02-0170</t>
  </si>
  <si>
    <t>감가상각충당금(집기비품)</t>
  </si>
  <si>
    <t>FP01-02-02-0180</t>
  </si>
  <si>
    <t>손상차손누계액(집기비품)</t>
  </si>
  <si>
    <t>FP01-02-02-0190</t>
  </si>
  <si>
    <t>시설장치</t>
  </si>
  <si>
    <t>FP01-02-02-0200</t>
  </si>
  <si>
    <t>감가상각충당금(시설장치)</t>
  </si>
  <si>
    <t>FP01-02-02-0210</t>
  </si>
  <si>
    <t>손상차손누계액(시설장치)</t>
  </si>
  <si>
    <t>FP01-02-02-0220</t>
  </si>
  <si>
    <t>국고보조금(시설장치)</t>
  </si>
  <si>
    <t>FP01-02-02-0230</t>
  </si>
  <si>
    <t>금형</t>
  </si>
  <si>
    <t>FP01-02-02-0240</t>
  </si>
  <si>
    <t>감가상각충당금(금형)</t>
  </si>
  <si>
    <t>FP01-02-02-0250</t>
  </si>
  <si>
    <t>손상차손누계액(금형)</t>
  </si>
  <si>
    <t>FP01-02-02-0260</t>
  </si>
  <si>
    <t>렌탈자산</t>
  </si>
  <si>
    <t>FP01-02-02-0270</t>
  </si>
  <si>
    <t>감가상각충당금(렌탈자산)</t>
  </si>
  <si>
    <t>FP01-02-02-0280</t>
  </si>
  <si>
    <t>사용권자산</t>
  </si>
  <si>
    <t>FP01-02-02-0290</t>
  </si>
  <si>
    <t>감가상각충당금(사용권자산)</t>
  </si>
  <si>
    <t>FP01-02-02-0300</t>
  </si>
  <si>
    <t>건설중인자산</t>
  </si>
  <si>
    <t>FP01-02-02-0310</t>
  </si>
  <si>
    <t>국고보조금(건설중인자산)</t>
  </si>
  <si>
    <t>FP01-02-02-0320</t>
  </si>
  <si>
    <t>손상차손누계액(건설중인자산)</t>
  </si>
  <si>
    <t>FP01-02-03</t>
  </si>
  <si>
    <t>무형자산</t>
  </si>
  <si>
    <t>FP01-02-03-0010</t>
  </si>
  <si>
    <t>영업권</t>
  </si>
  <si>
    <t>FP01-02-03-0020</t>
  </si>
  <si>
    <t>산업재산권</t>
  </si>
  <si>
    <t>FP01-02-03-0030</t>
  </si>
  <si>
    <t>개발비</t>
  </si>
  <si>
    <t>FP01-02-03-0040</t>
  </si>
  <si>
    <t>국고보조금(개발비)</t>
  </si>
  <si>
    <t>FP01-02-03-0050</t>
  </si>
  <si>
    <t>기타의무형자산</t>
  </si>
  <si>
    <t>FP01-02-03-0060</t>
  </si>
  <si>
    <t>국고보조금(기타의무형자산)</t>
  </si>
  <si>
    <t>FP01-02-04</t>
  </si>
  <si>
    <t>기타비유동자산</t>
  </si>
  <si>
    <t>FP01-02-04-0010</t>
  </si>
  <si>
    <t>장기성매출채권</t>
  </si>
  <si>
    <t>FP01-02-04-0020</t>
  </si>
  <si>
    <t>대손충당금(장기성매출채권)</t>
  </si>
  <si>
    <t>FP01-02-04-0021</t>
  </si>
  <si>
    <t>현재가치할인차금(장기)</t>
  </si>
  <si>
    <t>FP01-02-04-0030</t>
  </si>
  <si>
    <t>보증금</t>
  </si>
  <si>
    <t>FP01-02-04-0040</t>
  </si>
  <si>
    <t>이연법인세자산</t>
  </si>
  <si>
    <t>FP02</t>
  </si>
  <si>
    <t>부채</t>
  </si>
  <si>
    <t>FP02-01</t>
  </si>
  <si>
    <t>유동부채</t>
  </si>
  <si>
    <t>FP02-01-01-0010</t>
  </si>
  <si>
    <t>매입채무</t>
  </si>
  <si>
    <t>FP02-01-01-0020</t>
  </si>
  <si>
    <t>단기차입금</t>
  </si>
  <si>
    <t>FP02-01-01-0030</t>
  </si>
  <si>
    <t>단기사채</t>
  </si>
  <si>
    <t>FP02-01-01-0040</t>
  </si>
  <si>
    <t>사채할인발행차금(단기사채)</t>
  </si>
  <si>
    <t>FP02-01-01-0050</t>
  </si>
  <si>
    <t>유동성장기사채</t>
  </si>
  <si>
    <t>FP02-01-01-0060</t>
  </si>
  <si>
    <t>상환할증금(유동성장기사채)</t>
  </si>
  <si>
    <t>FP02-01-01-0070</t>
  </si>
  <si>
    <t>사채할인발행차금(유동성장기사채)</t>
  </si>
  <si>
    <t>FP02-01-01-0080</t>
  </si>
  <si>
    <t>전환권조정(유동성장기사채)</t>
  </si>
  <si>
    <t>FP02-01-01-0090</t>
  </si>
  <si>
    <t>신주인수권조정(유동성장기사채)</t>
  </si>
  <si>
    <t>FP02-01-01-0100</t>
  </si>
  <si>
    <t>유동성장기부채</t>
  </si>
  <si>
    <t>FP02-01-01-0110</t>
  </si>
  <si>
    <t>미지급금</t>
  </si>
  <si>
    <t>FP02-01-01-0120</t>
  </si>
  <si>
    <t>선수금</t>
  </si>
  <si>
    <t>FP02-01-01-0130</t>
  </si>
  <si>
    <t>선수국고보조금</t>
  </si>
  <si>
    <t>FP02-01-01-0140</t>
  </si>
  <si>
    <t>예수금</t>
  </si>
  <si>
    <t>FP02-01-01-0150</t>
  </si>
  <si>
    <t>미지급비용</t>
  </si>
  <si>
    <t>FP02-01-01-0160</t>
  </si>
  <si>
    <t>선수수익</t>
  </si>
  <si>
    <t>FP02-01-01-0170</t>
  </si>
  <si>
    <t>미지급법인세</t>
  </si>
  <si>
    <t>FP02-01-01-0180</t>
  </si>
  <si>
    <t>부가세예수금</t>
  </si>
  <si>
    <t>FP02-01-01-0190</t>
  </si>
  <si>
    <t>미지급배당금</t>
  </si>
  <si>
    <t>FP02-01-01-0200</t>
  </si>
  <si>
    <t>파생상품부채(유동)</t>
  </si>
  <si>
    <t>FP02-01-01-0210</t>
  </si>
  <si>
    <t>금융보증부채</t>
  </si>
  <si>
    <t>FP02-01-01-0220</t>
  </si>
  <si>
    <t>상품권충당부채</t>
  </si>
  <si>
    <t>FP02-01-01-0230</t>
  </si>
  <si>
    <t>패키지충당부채</t>
  </si>
  <si>
    <t>FP02-01-01-0240</t>
  </si>
  <si>
    <t>이연매출</t>
  </si>
  <si>
    <t>FP02-01-01-0250</t>
  </si>
  <si>
    <t>온라인충당부채</t>
  </si>
  <si>
    <t>FP02-01-01-0260</t>
  </si>
  <si>
    <t>반품충당부채</t>
  </si>
  <si>
    <t>FP02-01-01-0270</t>
  </si>
  <si>
    <t>보증충당부채</t>
  </si>
  <si>
    <t>FP02-01-01-0280</t>
  </si>
  <si>
    <t>리스사용권부채(유동)</t>
  </si>
  <si>
    <t>FP02-01-01-0290</t>
  </si>
  <si>
    <t>가수금</t>
  </si>
  <si>
    <t>FP02-02</t>
  </si>
  <si>
    <t>비유동부채</t>
  </si>
  <si>
    <t>FP02-02-01-0010</t>
  </si>
  <si>
    <t>사채</t>
  </si>
  <si>
    <t>FP02-02-01-0020</t>
  </si>
  <si>
    <t>상환할증금(장기사채)</t>
  </si>
  <si>
    <t>FP02-02-01-0030</t>
  </si>
  <si>
    <t>사채할인발행차금(장기사채)</t>
  </si>
  <si>
    <t>FP02-02-01-0040</t>
  </si>
  <si>
    <t>전환권조정(장기사채)</t>
  </si>
  <si>
    <t>FP02-02-01-0050</t>
  </si>
  <si>
    <t>신주인수권조정(장기사채)</t>
  </si>
  <si>
    <t>FP02-02-01-0060</t>
  </si>
  <si>
    <t>장기차입금</t>
  </si>
  <si>
    <t>FP02-02-01-0070</t>
  </si>
  <si>
    <t>장기성매입채무</t>
  </si>
  <si>
    <t>FP02-02-01-0080</t>
  </si>
  <si>
    <t>장기미지급금</t>
  </si>
  <si>
    <t>FP02-02-01-0090</t>
  </si>
  <si>
    <t>장기미지급비용</t>
  </si>
  <si>
    <t>FP02-02-01-0100</t>
  </si>
  <si>
    <t>파생상품부채(비유동)</t>
  </si>
  <si>
    <t>FP02-02-01-0110</t>
  </si>
  <si>
    <t>확정급여부채</t>
  </si>
  <si>
    <t>FP02-02-01-0120</t>
  </si>
  <si>
    <t>임대보증금</t>
  </si>
  <si>
    <t>FP02-02-01-0130</t>
  </si>
  <si>
    <t>예수보증금</t>
  </si>
  <si>
    <t>FP02-02-01-0140</t>
  </si>
  <si>
    <t>리스사용권부채(비유동)</t>
  </si>
  <si>
    <t>FP02-02-01-0150</t>
  </si>
  <si>
    <t>이연법인세부채</t>
  </si>
  <si>
    <t>FP02-02-01-0160</t>
  </si>
  <si>
    <t>지분법충당금</t>
  </si>
  <si>
    <t>FP02-02-01-0170</t>
  </si>
  <si>
    <t>비지배지분부채</t>
  </si>
  <si>
    <t>FP03</t>
  </si>
  <si>
    <t>자본</t>
  </si>
  <si>
    <t>FP03-01</t>
  </si>
  <si>
    <t>납입자본</t>
  </si>
  <si>
    <t>FP03-01-01-0010</t>
  </si>
  <si>
    <t>보통주자본금</t>
  </si>
  <si>
    <t>FP03-01-01-0020</t>
  </si>
  <si>
    <t>우선주자본금</t>
  </si>
  <si>
    <t>FP03-02</t>
  </si>
  <si>
    <t>자본잉여금</t>
  </si>
  <si>
    <t>FP03-02-01-0010</t>
  </si>
  <si>
    <t>전환권대가</t>
  </si>
  <si>
    <t>FP03-02-01-0020</t>
  </si>
  <si>
    <t>자기주식처분이익</t>
  </si>
  <si>
    <t>FP03-02-01-0030</t>
  </si>
  <si>
    <t>주식발행초과금</t>
  </si>
  <si>
    <t>FP03-02-01-0040</t>
  </si>
  <si>
    <t>감자차익</t>
  </si>
  <si>
    <t>FP03-02-01-0050</t>
  </si>
  <si>
    <t>합병차익</t>
  </si>
  <si>
    <t>FP03-02-01-0060</t>
  </si>
  <si>
    <t>채무면제이익</t>
  </si>
  <si>
    <t>FP03-02-01-0070</t>
  </si>
  <si>
    <t>기타의 자본잉여금</t>
  </si>
  <si>
    <t>FP03-03</t>
  </si>
  <si>
    <t>자본조정</t>
  </si>
  <si>
    <t>FP03-03-01-0010</t>
  </si>
  <si>
    <t>자기주식</t>
  </si>
  <si>
    <t>FP03-03-01-0020</t>
  </si>
  <si>
    <t>주식할인발행차금</t>
  </si>
  <si>
    <t>FP03-03-01-0030</t>
  </si>
  <si>
    <t>미교부주식배당금</t>
  </si>
  <si>
    <t>FP03-03-01-0040</t>
  </si>
  <si>
    <t>감자차손</t>
  </si>
  <si>
    <t>FP03-03-01-0050</t>
  </si>
  <si>
    <t>자기주식처분손실</t>
  </si>
  <si>
    <t>FP03-03-01-0060</t>
  </si>
  <si>
    <t>지분법자본변동</t>
  </si>
  <si>
    <t>FP03-03-01-0070</t>
  </si>
  <si>
    <t>기타자본조정</t>
  </si>
  <si>
    <t>FP03-04</t>
  </si>
  <si>
    <t>기타포괄손익누계액</t>
  </si>
  <si>
    <t>FP03-04-01-0010</t>
  </si>
  <si>
    <t>매도가능증권평가차손익</t>
  </si>
  <si>
    <t>FP03-04-01-0020</t>
  </si>
  <si>
    <t>해외사업환산손익</t>
  </si>
  <si>
    <t>FP03-04-01-0030</t>
  </si>
  <si>
    <t>해외사업환산손익 (연결)</t>
  </si>
  <si>
    <t>FP03-04-01-0040</t>
  </si>
  <si>
    <t>현금흐름위험회피파생상품평가차손익</t>
  </si>
  <si>
    <t>FP03-04-01-0050</t>
  </si>
  <si>
    <t>기타포괄지분법자본변동</t>
  </si>
  <si>
    <t>FP03-05</t>
  </si>
  <si>
    <t>이익잉여금</t>
  </si>
  <si>
    <t>FP03-05-01-0010</t>
  </si>
  <si>
    <t>이익준비금</t>
  </si>
  <si>
    <t>FP03-05-01-0020</t>
  </si>
  <si>
    <t>기타법정적립금</t>
  </si>
  <si>
    <t>FP03-05-01-0030</t>
  </si>
  <si>
    <t>조세특례법(기술개발준비금)</t>
  </si>
  <si>
    <t>FP03-05-01-0040</t>
  </si>
  <si>
    <t>임의적립금</t>
  </si>
  <si>
    <t>FP03-05-01-0050</t>
  </si>
  <si>
    <t>확정급여제도의보험수리적손익</t>
  </si>
  <si>
    <t>FP03-05-01-0060</t>
  </si>
  <si>
    <t>미처분이익잉여금_전기이월잉여금</t>
  </si>
  <si>
    <t>FP03-05-01-0070</t>
  </si>
  <si>
    <t>미처분이익잉여금_당기순손익</t>
  </si>
  <si>
    <t>FP03-06</t>
  </si>
  <si>
    <t>비지배주주지분</t>
  </si>
  <si>
    <t>FP03-06-01-0010</t>
  </si>
  <si>
    <t>비지배주주지분_잉여금</t>
  </si>
  <si>
    <t>FP03-06-01-0020</t>
  </si>
  <si>
    <t>비지배주주지분_해외사업환산손익</t>
  </si>
  <si>
    <t>FP03-06-01-0030</t>
  </si>
  <si>
    <t>비지배주주지분_당기순이익</t>
  </si>
  <si>
    <t>FP03-06-01-0040</t>
  </si>
  <si>
    <t>비지배주주지분_기타포괄손익누계액</t>
  </si>
  <si>
    <t>FP03-06-01-0050</t>
  </si>
  <si>
    <t>비지배주주지분_보험수리적손익</t>
  </si>
  <si>
    <t>FP03-06-01-0060</t>
  </si>
  <si>
    <t>비지배주주지분_자본잉여금</t>
  </si>
  <si>
    <t>FP03-06-01-0070</t>
  </si>
  <si>
    <t>비지배주주지분_자본조정</t>
  </si>
  <si>
    <t>FP03-06-01-0090</t>
  </si>
  <si>
    <t>FP10</t>
  </si>
  <si>
    <t>부채와 자본총계</t>
  </si>
  <si>
    <t>증감(회계연월당기-전년동기누적)</t>
  </si>
  <si>
    <t>PL01</t>
  </si>
  <si>
    <t>매출액</t>
  </si>
  <si>
    <t>PL01-01</t>
  </si>
  <si>
    <t>상품매출액</t>
  </si>
  <si>
    <t>PL01-01-0010</t>
  </si>
  <si>
    <t>본사상품매출액</t>
  </si>
  <si>
    <t>PL01-01-0020</t>
  </si>
  <si>
    <t>본사제품매출액</t>
  </si>
  <si>
    <t>PL01-01-0030</t>
  </si>
  <si>
    <t>미국제품매출액</t>
  </si>
  <si>
    <t>PL01-01-0040</t>
  </si>
  <si>
    <t>현지매입상품매출액</t>
  </si>
  <si>
    <t>PL01-01-0050</t>
  </si>
  <si>
    <t>기타관계사제품매출액</t>
  </si>
  <si>
    <t>PL01-02</t>
  </si>
  <si>
    <t>제품매출액</t>
  </si>
  <si>
    <t>PL01-03</t>
  </si>
  <si>
    <t>반제품매출액</t>
  </si>
  <si>
    <t>PL01-04</t>
  </si>
  <si>
    <t>원재료매출액</t>
  </si>
  <si>
    <t>PL01-05</t>
  </si>
  <si>
    <t>IT매출액</t>
  </si>
  <si>
    <t>PL01-06</t>
  </si>
  <si>
    <t>AS 용역매출액</t>
  </si>
  <si>
    <t>PL01-07</t>
  </si>
  <si>
    <t>임상용역매출액</t>
  </si>
  <si>
    <t>PL01-08</t>
  </si>
  <si>
    <t>기타용역매출액</t>
  </si>
  <si>
    <t>PL01-09</t>
  </si>
  <si>
    <t>렌탈매출액</t>
  </si>
  <si>
    <t>PL01-99</t>
  </si>
  <si>
    <t>기타매출액</t>
  </si>
  <si>
    <t>PL02</t>
  </si>
  <si>
    <t>매출원가</t>
  </si>
  <si>
    <t>PL02-01</t>
  </si>
  <si>
    <t>상품매출원가</t>
  </si>
  <si>
    <t>PL02-01-0010</t>
  </si>
  <si>
    <t>본사상품매출원가</t>
  </si>
  <si>
    <t>PL02-01-0020</t>
  </si>
  <si>
    <t>본사제품매출원가</t>
  </si>
  <si>
    <t>PL02-01-0030</t>
  </si>
  <si>
    <t>미국제품매출원가</t>
  </si>
  <si>
    <t>PL02-01-0040</t>
  </si>
  <si>
    <t>현지매입상품매출원가</t>
  </si>
  <si>
    <t>PL02-01-0050</t>
  </si>
  <si>
    <t>기타국내관계사제품매출원가</t>
  </si>
  <si>
    <t>PL02-02</t>
  </si>
  <si>
    <t>제품매출원가</t>
  </si>
  <si>
    <t>PL02-03</t>
  </si>
  <si>
    <t>반제품매출원가</t>
  </si>
  <si>
    <t>PL02-04</t>
  </si>
  <si>
    <t>원재료매출원가</t>
  </si>
  <si>
    <t>PL02-05</t>
  </si>
  <si>
    <t>IT매출원가</t>
  </si>
  <si>
    <t>PL02-06</t>
  </si>
  <si>
    <t>AS용역매출원가</t>
  </si>
  <si>
    <t>PL02-07</t>
  </si>
  <si>
    <t>임상용역매출원가</t>
  </si>
  <si>
    <t>PL02-08</t>
  </si>
  <si>
    <t>기타용역매출원가</t>
  </si>
  <si>
    <t>PL02-09</t>
  </si>
  <si>
    <t>렌탈매출원가</t>
  </si>
  <si>
    <t>PL02-99</t>
  </si>
  <si>
    <t>기타매출원가</t>
  </si>
  <si>
    <t>PL03</t>
  </si>
  <si>
    <t>매출총이익</t>
  </si>
  <si>
    <t>PL04</t>
  </si>
  <si>
    <t>판매비와 관리비</t>
  </si>
  <si>
    <t>PL04-00-0010</t>
  </si>
  <si>
    <t>급여</t>
  </si>
  <si>
    <t>PL04-00-0020</t>
  </si>
  <si>
    <t>상여금</t>
  </si>
  <si>
    <t>PL04-00-0030</t>
  </si>
  <si>
    <t>퇴직급여</t>
  </si>
  <si>
    <t>PL04-00-0040</t>
  </si>
  <si>
    <t>잡급</t>
  </si>
  <si>
    <t>PL04-00-0050</t>
  </si>
  <si>
    <t>복리후생비</t>
  </si>
  <si>
    <t>PL04-00-0060</t>
  </si>
  <si>
    <t>수출경비</t>
  </si>
  <si>
    <t>PL04-00-0070</t>
  </si>
  <si>
    <t>여비교통비</t>
  </si>
  <si>
    <t>PL04-00-0080</t>
  </si>
  <si>
    <t>교육훈련비</t>
  </si>
  <si>
    <t>PL04-00-0090</t>
  </si>
  <si>
    <t>소모품비</t>
  </si>
  <si>
    <t>PL04-00-0100</t>
  </si>
  <si>
    <t>도서인쇄비</t>
  </si>
  <si>
    <t>PL04-00-0110</t>
  </si>
  <si>
    <t>운반비</t>
  </si>
  <si>
    <t>PL04-00-0120</t>
  </si>
  <si>
    <t>통신비</t>
  </si>
  <si>
    <t>PL04-00-0130</t>
  </si>
  <si>
    <t>수도광열비</t>
  </si>
  <si>
    <t>PL04-00-0140</t>
  </si>
  <si>
    <t>임차료</t>
  </si>
  <si>
    <t>PL04-00-0150</t>
  </si>
  <si>
    <t>보험료</t>
  </si>
  <si>
    <t>PL04-00-0160</t>
  </si>
  <si>
    <t>건물관리비</t>
  </si>
  <si>
    <t>PL04-00-0170</t>
  </si>
  <si>
    <t>차량유지비</t>
  </si>
  <si>
    <t>PL04-00-0180</t>
  </si>
  <si>
    <t>감가상각비</t>
  </si>
  <si>
    <t>PL04-00-0190</t>
  </si>
  <si>
    <t>리스자산상각비</t>
  </si>
  <si>
    <t>PL04-00-0200</t>
  </si>
  <si>
    <t>무형자산상각비</t>
  </si>
  <si>
    <t>PL04-00-0210</t>
  </si>
  <si>
    <t>광고선전비</t>
  </si>
  <si>
    <t>PL04-00-0220</t>
  </si>
  <si>
    <t>판매수수료</t>
  </si>
  <si>
    <t>PL04-00-0230</t>
  </si>
  <si>
    <t>세금과공과</t>
  </si>
  <si>
    <t>PL04-00-0240</t>
  </si>
  <si>
    <t>지급수수료</t>
  </si>
  <si>
    <t>PL04-00-0250</t>
  </si>
  <si>
    <t>판매촉진비</t>
  </si>
  <si>
    <t>PL04-00-0260</t>
  </si>
  <si>
    <t>경상연구개발비</t>
  </si>
  <si>
    <t>PL04-00-0270</t>
  </si>
  <si>
    <t>접대비</t>
  </si>
  <si>
    <t>PL04-00-0280</t>
  </si>
  <si>
    <t>견본비</t>
  </si>
  <si>
    <t>PL04-00-0290</t>
  </si>
  <si>
    <t>대손상각비</t>
  </si>
  <si>
    <t>PL04-00-0300</t>
  </si>
  <si>
    <t>해외시장개척비</t>
  </si>
  <si>
    <t>PL04-00-0310</t>
  </si>
  <si>
    <t>교육재료비</t>
  </si>
  <si>
    <t>PL04-00-0320</t>
  </si>
  <si>
    <t>잡비</t>
  </si>
  <si>
    <t>PL04-00-0330</t>
  </si>
  <si>
    <t>주식보상비용</t>
  </si>
  <si>
    <t>PL04-00-0340</t>
  </si>
  <si>
    <t>안전관리비</t>
  </si>
  <si>
    <t>PL05</t>
  </si>
  <si>
    <t>영업이익</t>
  </si>
  <si>
    <t>PL06</t>
  </si>
  <si>
    <t>영업외수익</t>
  </si>
  <si>
    <t>PL06-00-0010</t>
  </si>
  <si>
    <t>이자수익</t>
  </si>
  <si>
    <t>PL06-00-0020</t>
  </si>
  <si>
    <t>배당금수익</t>
  </si>
  <si>
    <t>PL06-00-0030</t>
  </si>
  <si>
    <t>임대료수익</t>
  </si>
  <si>
    <t>PL06-00-0040</t>
  </si>
  <si>
    <t>외환차익</t>
  </si>
  <si>
    <t>PL06-00-0050</t>
  </si>
  <si>
    <t>외화환산이익</t>
  </si>
  <si>
    <t>PL06-00-0060</t>
  </si>
  <si>
    <t>파생상품거래이익</t>
  </si>
  <si>
    <t>PL06-00-0070</t>
  </si>
  <si>
    <t>파생상품평가이익</t>
  </si>
  <si>
    <t>PL06-00-0080</t>
  </si>
  <si>
    <t>단기매매증권처분이익</t>
  </si>
  <si>
    <t>PL06-00-0090</t>
  </si>
  <si>
    <t>단기매매증권평가이익</t>
  </si>
  <si>
    <t>PL06-00-0100</t>
  </si>
  <si>
    <t>장기금융상품평가이익</t>
  </si>
  <si>
    <t>PL06-00-0110</t>
  </si>
  <si>
    <t>장기투자증권평가이익</t>
  </si>
  <si>
    <t>PL06-00-0120</t>
  </si>
  <si>
    <t>장기투자증권처분이익</t>
  </si>
  <si>
    <t>PL06-00-0130</t>
  </si>
  <si>
    <t>장기투자증권감액손실환입</t>
  </si>
  <si>
    <t>PL06-00-0140</t>
  </si>
  <si>
    <t>대손충당금환입</t>
  </si>
  <si>
    <t>PL06-00-0150</t>
  </si>
  <si>
    <t>지분법이익</t>
  </si>
  <si>
    <t>PL06-00-0160</t>
  </si>
  <si>
    <t>투자자산처분이익</t>
  </si>
  <si>
    <t>PL06-00-0170</t>
  </si>
  <si>
    <t>유형자산처분이익</t>
  </si>
  <si>
    <t>PL06-00-0180</t>
  </si>
  <si>
    <t>유형자산손상차손환입</t>
  </si>
  <si>
    <t>PL06-00-0190</t>
  </si>
  <si>
    <t>사용권자산처분이익</t>
  </si>
  <si>
    <t>PL06-00-0200</t>
  </si>
  <si>
    <t>무형자산처분이익</t>
  </si>
  <si>
    <t>PL06-00-0210</t>
  </si>
  <si>
    <t>무형자산손상차손환입</t>
  </si>
  <si>
    <t>PL06-00-0211</t>
  </si>
  <si>
    <t>매각예정자산처분이익</t>
  </si>
  <si>
    <t>PL06-00-0212</t>
  </si>
  <si>
    <t>매각예정자산평가이익</t>
  </si>
  <si>
    <t>PL06-00-0220</t>
  </si>
  <si>
    <t>상각채권추심이익</t>
  </si>
  <si>
    <t>PL06-00-0230</t>
  </si>
  <si>
    <t>사채상환이익</t>
  </si>
  <si>
    <t>PL06-00-0240</t>
  </si>
  <si>
    <t>법인세환급액</t>
  </si>
  <si>
    <t>PL06-00-0250</t>
  </si>
  <si>
    <t>사외적립자산운용수익</t>
  </si>
  <si>
    <t>PL06-00-0260</t>
  </si>
  <si>
    <t>패키지충당금환입</t>
  </si>
  <si>
    <t>PL06-00-0270</t>
  </si>
  <si>
    <t>금융보증부채환입</t>
  </si>
  <si>
    <t>PL06-00-0280</t>
  </si>
  <si>
    <t>잡이익</t>
  </si>
  <si>
    <t>PL06-00-0290</t>
  </si>
  <si>
    <t>자산수증이익</t>
  </si>
  <si>
    <t>PL06-00-0300</t>
  </si>
  <si>
    <t>PL06-00-0990</t>
  </si>
  <si>
    <t>염가매수차익</t>
  </si>
  <si>
    <t>PL07</t>
  </si>
  <si>
    <t>영업외비용</t>
  </si>
  <si>
    <t>PL07-00-0010</t>
  </si>
  <si>
    <t>이자비용</t>
  </si>
  <si>
    <t>PL07-00-0020</t>
  </si>
  <si>
    <t>기타의대손상각비</t>
  </si>
  <si>
    <t>PL07-00-0030</t>
  </si>
  <si>
    <t>외환차손</t>
  </si>
  <si>
    <t>PL07-00-0040</t>
  </si>
  <si>
    <t>외화환산손실</t>
  </si>
  <si>
    <t>PL07-00-0050</t>
  </si>
  <si>
    <t>단기매매증권처분손실</t>
  </si>
  <si>
    <t>PL07-00-0060</t>
  </si>
  <si>
    <t>단기매매증권평가손실</t>
  </si>
  <si>
    <t>PL07-00-0070</t>
  </si>
  <si>
    <t>장기투자증권평가손실</t>
  </si>
  <si>
    <t>PL07-00-0080</t>
  </si>
  <si>
    <t>장기투자증권처분손실</t>
  </si>
  <si>
    <t>PL07-00-0090</t>
  </si>
  <si>
    <t>장기투자증권감액손실</t>
  </si>
  <si>
    <t>PL07-00-0100</t>
  </si>
  <si>
    <t>장기금융상품평가손실</t>
  </si>
  <si>
    <t>PL07-00-0110</t>
  </si>
  <si>
    <t>파생상품평가손실</t>
  </si>
  <si>
    <t>PL07-00-0120</t>
  </si>
  <si>
    <t>파생상품거래손실</t>
  </si>
  <si>
    <t>PL07-00-0130</t>
  </si>
  <si>
    <t>재고자산평가(감모)손실</t>
  </si>
  <si>
    <t>PL07-00-0140</t>
  </si>
  <si>
    <t>기부금</t>
  </si>
  <si>
    <t>PL07-00-0150</t>
  </si>
  <si>
    <t>지분법손실</t>
  </si>
  <si>
    <t>PL07-00-0160</t>
  </si>
  <si>
    <t>투자자산처분손실</t>
  </si>
  <si>
    <t>PL07-00-0170</t>
  </si>
  <si>
    <t>유형자산처분손실</t>
  </si>
  <si>
    <t>PL07-00-0180</t>
  </si>
  <si>
    <t>유형자산감액손실</t>
  </si>
  <si>
    <t>PL07-00-0190</t>
  </si>
  <si>
    <t>사용권자산처분손실</t>
  </si>
  <si>
    <t>PL07-00-0200</t>
  </si>
  <si>
    <t>무형자산처분손실</t>
  </si>
  <si>
    <t>PL07-00-0210</t>
  </si>
  <si>
    <t>무형자산감액손실</t>
  </si>
  <si>
    <t>PL07-00-0211</t>
  </si>
  <si>
    <t>매각예정자산처분손실</t>
  </si>
  <si>
    <t>PL07-00-0212</t>
  </si>
  <si>
    <t>매각예정자산평가손실</t>
  </si>
  <si>
    <t>PL07-00-0220</t>
  </si>
  <si>
    <t>매출채권처분손실</t>
  </si>
  <si>
    <t>PL07-00-0230</t>
  </si>
  <si>
    <t>사외적립자산운용손실</t>
  </si>
  <si>
    <t>PL07-00-0240</t>
  </si>
  <si>
    <t>사채상환손실</t>
  </si>
  <si>
    <t>PL07-00-0250</t>
  </si>
  <si>
    <t>법인세추납액</t>
  </si>
  <si>
    <t>PL07-00-0260</t>
  </si>
  <si>
    <t>잡손실</t>
  </si>
  <si>
    <t>PL07-00-0270</t>
  </si>
  <si>
    <t>재해손실</t>
  </si>
  <si>
    <t>PL07-00-0280</t>
  </si>
  <si>
    <t>생산중단비용</t>
  </si>
  <si>
    <t>PL07-00-0290</t>
  </si>
  <si>
    <t>순화폐성자산에서발생하는손익</t>
  </si>
  <si>
    <t>PL08</t>
  </si>
  <si>
    <t>법인세차감전순이익</t>
  </si>
  <si>
    <t>PL09</t>
  </si>
  <si>
    <t>법인세비용</t>
  </si>
  <si>
    <t>PL09-00-0010</t>
  </si>
  <si>
    <t>PL10</t>
  </si>
  <si>
    <t>당기순이익</t>
  </si>
  <si>
    <t>PL10-01</t>
  </si>
  <si>
    <t>지배주주순이익</t>
  </si>
  <si>
    <t>PL10-02</t>
  </si>
  <si>
    <t>비지배주주순이익</t>
  </si>
  <si>
    <t>전월</t>
    <phoneticPr fontId="3" type="noConversion"/>
  </si>
  <si>
    <t>당월</t>
    <phoneticPr fontId="3" type="noConversion"/>
  </si>
  <si>
    <t>전전월</t>
    <phoneticPr fontId="3" type="noConversion"/>
  </si>
  <si>
    <t>전전월(A)</t>
    <phoneticPr fontId="3" type="noConversion"/>
  </si>
  <si>
    <t>전월(B)</t>
    <phoneticPr fontId="3" type="noConversion"/>
  </si>
  <si>
    <t xml:space="preserve">당월(C) </t>
    <phoneticPr fontId="3" type="noConversion"/>
  </si>
  <si>
    <t>증감(B-A)</t>
    <phoneticPr fontId="3" type="noConversion"/>
  </si>
  <si>
    <t>증감(C-B)</t>
    <phoneticPr fontId="3" type="noConversion"/>
  </si>
  <si>
    <t>%</t>
    <phoneticPr fontId="3" type="noConversion"/>
  </si>
  <si>
    <t>전전월 대비 전월</t>
    <phoneticPr fontId="3" type="noConversion"/>
  </si>
  <si>
    <t>전월 대비 당월</t>
    <phoneticPr fontId="3" type="noConversion"/>
  </si>
  <si>
    <t>원가율</t>
    <phoneticPr fontId="3" type="noConversion"/>
  </si>
  <si>
    <t>유동비율</t>
    <phoneticPr fontId="3" type="noConversion"/>
  </si>
  <si>
    <t>부채비율</t>
    <phoneticPr fontId="3" type="noConversion"/>
  </si>
  <si>
    <t>영업이익율</t>
    <phoneticPr fontId="3" type="noConversion"/>
  </si>
  <si>
    <t>판관비율</t>
    <phoneticPr fontId="3" type="noConversion"/>
  </si>
  <si>
    <t>전월대비 증감</t>
    <phoneticPr fontId="3" type="noConversion"/>
  </si>
  <si>
    <t>매출</t>
    <phoneticPr fontId="3" type="noConversion"/>
  </si>
  <si>
    <t>원가</t>
    <phoneticPr fontId="3" type="noConversion"/>
  </si>
  <si>
    <t>판관비</t>
    <phoneticPr fontId="3" type="noConversion"/>
  </si>
  <si>
    <t>영업이익</t>
    <phoneticPr fontId="3" type="noConversion"/>
  </si>
  <si>
    <t>PL04-00-0350</t>
  </si>
  <si>
    <t>A/S보증비용</t>
  </si>
  <si>
    <t>PL07-00-0300</t>
  </si>
  <si>
    <t>영업권손상차손</t>
  </si>
  <si>
    <t>검증</t>
    <phoneticPr fontId="3" type="noConversion"/>
  </si>
  <si>
    <t>전년(A)</t>
    <phoneticPr fontId="3" type="noConversion"/>
  </si>
  <si>
    <t>당해(B)</t>
    <phoneticPr fontId="3" type="noConversion"/>
  </si>
  <si>
    <t>전년 대비 당해</t>
    <phoneticPr fontId="3" type="noConversion"/>
  </si>
  <si>
    <t>전년</t>
    <phoneticPr fontId="3" type="noConversion"/>
  </si>
  <si>
    <t>당해</t>
    <phoneticPr fontId="3" type="noConversion"/>
  </si>
  <si>
    <t>전년대비 증감</t>
    <phoneticPr fontId="3" type="noConversion"/>
  </si>
  <si>
    <t>영업이익 금액</t>
    <phoneticPr fontId="3" type="noConversion"/>
  </si>
  <si>
    <t>영업이익금액</t>
    <phoneticPr fontId="3" type="noConversion"/>
  </si>
  <si>
    <t>잡이익 내역</t>
    <phoneticPr fontId="3" type="noConversion"/>
  </si>
  <si>
    <t>PL01-10</t>
  </si>
  <si>
    <t>임대매출액</t>
  </si>
  <si>
    <t>PL02-10</t>
  </si>
  <si>
    <t>임대매출원가</t>
  </si>
  <si>
    <t>PL04-00-0031</t>
  </si>
  <si>
    <t>퇴직위로금</t>
  </si>
  <si>
    <t>FP01-02-02-0151</t>
  </si>
  <si>
    <t>국고보조금(공구와기구)</t>
  </si>
  <si>
    <t>기타의 자본잉여금</t>
  </si>
  <si>
    <t>해외사업환산손익 (연결)</t>
  </si>
  <si>
    <t>부채와 자본총계</t>
  </si>
  <si>
    <t>AS 용역매출액</t>
  </si>
  <si>
    <t>판매비와 관리비</t>
  </si>
  <si>
    <t>PL</t>
    <phoneticPr fontId="3" type="noConversion"/>
  </si>
  <si>
    <t>BS</t>
    <phoneticPr fontId="3" type="noConversion"/>
  </si>
  <si>
    <t>차액</t>
    <phoneticPr fontId="3" type="noConversion"/>
  </si>
  <si>
    <t>유형감가상각비</t>
    <phoneticPr fontId="3" type="noConversion"/>
  </si>
  <si>
    <t>무형감가상각비</t>
    <phoneticPr fontId="3" type="noConversion"/>
  </si>
  <si>
    <t>리스감가상각비</t>
    <phoneticPr fontId="3" type="noConversion"/>
  </si>
  <si>
    <t>처분이익</t>
    <phoneticPr fontId="3" type="noConversion"/>
  </si>
  <si>
    <t>처분손실</t>
    <phoneticPr fontId="3" type="noConversion"/>
  </si>
  <si>
    <t>종료금액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</si>
</sst>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General&quot;월&quot;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color rgb="FF000000"/>
      <name val="맑은 고딕"/>
      <family val="3"/>
      <charset val="129"/>
    </font>
    <font>
      <b/>
      <sz val="8"/>
      <name val="맑은 고딕"/>
      <family val="3"/>
      <charset val="129"/>
    </font>
    <font>
      <sz val="11"/>
      <color rgb="FF0000FF"/>
      <name val="맑은 고딕"/>
      <family val="2"/>
      <charset val="129"/>
      <scheme val="minor"/>
    </font>
    <font>
      <sz val="8"/>
      <color rgb="FF333333"/>
      <name val="맑은 고딕"/>
      <family val="3"/>
      <charset val="129"/>
    </font>
    <font>
      <b/>
      <sz val="8"/>
      <color rgb="FF333333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3F3F3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8F6CE"/>
        <bgColor indexed="64"/>
      </patternFill>
    </fill>
    <fill>
      <patternFill patternType="solid">
        <fgColor rgb="FFF3F3F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4" fillId="0" borderId="0" xfId="0" applyFont="1" applyAlignment="1" applyProtection="1">
      <alignment horizontal="left" vertical="center"/>
      <protection locked="0"/>
    </xf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left" vertical="center"/>
    </xf>
    <xf numFmtId="4" fontId="2" fillId="2" borderId="0" xfId="0" applyNumberFormat="1" applyFont="1" applyFill="1" applyAlignment="1">
      <alignment horizontal="right" vertical="center"/>
    </xf>
    <xf numFmtId="49" fontId="2" fillId="3" borderId="0" xfId="0" applyNumberFormat="1" applyFont="1" applyFill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49" fontId="2" fillId="3" borderId="0" xfId="0" applyNumberFormat="1" applyFont="1" applyFill="1" applyAlignment="1">
      <alignment horizontal="left" vertical="center"/>
    </xf>
    <xf numFmtId="0" fontId="0" fillId="3" borderId="0" xfId="0" applyFill="1">
      <alignment vertical="center"/>
    </xf>
    <xf numFmtId="9" fontId="0" fillId="3" borderId="0" xfId="2" applyFont="1" applyFill="1">
      <alignment vertical="center"/>
    </xf>
    <xf numFmtId="49" fontId="2" fillId="3" borderId="0" xfId="0" applyNumberFormat="1" applyFont="1" applyFill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0" fontId="0" fillId="3" borderId="2" xfId="0" applyFill="1" applyBorder="1">
      <alignment vertical="center"/>
    </xf>
    <xf numFmtId="9" fontId="0" fillId="3" borderId="2" xfId="2" applyFont="1" applyFill="1" applyBorder="1">
      <alignment vertical="center"/>
    </xf>
    <xf numFmtId="49" fontId="5" fillId="3" borderId="0" xfId="0" applyNumberFormat="1" applyFont="1" applyFill="1" applyAlignment="1">
      <alignment horizontal="center" vertical="center"/>
    </xf>
    <xf numFmtId="49" fontId="5" fillId="3" borderId="3" xfId="0" applyNumberFormat="1" applyFont="1" applyFill="1" applyBorder="1" applyAlignment="1">
      <alignment horizontal="left" vertical="center"/>
    </xf>
    <xf numFmtId="176" fontId="0" fillId="3" borderId="3" xfId="1" applyNumberFormat="1" applyFont="1" applyFill="1" applyBorder="1">
      <alignment vertical="center"/>
    </xf>
    <xf numFmtId="43" fontId="0" fillId="3" borderId="3" xfId="0" applyNumberFormat="1" applyFill="1" applyBorder="1">
      <alignment vertical="center"/>
    </xf>
    <xf numFmtId="9" fontId="0" fillId="3" borderId="3" xfId="2" applyFont="1" applyFill="1" applyBorder="1">
      <alignment vertical="center"/>
    </xf>
    <xf numFmtId="49" fontId="2" fillId="3" borderId="3" xfId="0" applyNumberFormat="1" applyFont="1" applyFill="1" applyBorder="1" applyAlignment="1">
      <alignment horizontal="left" vertical="center"/>
    </xf>
    <xf numFmtId="49" fontId="2" fillId="3" borderId="4" xfId="0" applyNumberFormat="1" applyFont="1" applyFill="1" applyBorder="1" applyAlignment="1">
      <alignment horizontal="left" vertical="center"/>
    </xf>
    <xf numFmtId="176" fontId="0" fillId="3" borderId="4" xfId="1" applyNumberFormat="1" applyFont="1" applyFill="1" applyBorder="1">
      <alignment vertical="center"/>
    </xf>
    <xf numFmtId="43" fontId="0" fillId="3" borderId="4" xfId="0" applyNumberFormat="1" applyFill="1" applyBorder="1">
      <alignment vertical="center"/>
    </xf>
    <xf numFmtId="9" fontId="0" fillId="3" borderId="4" xfId="2" applyFont="1" applyFill="1" applyBorder="1">
      <alignment vertical="center"/>
    </xf>
    <xf numFmtId="49" fontId="5" fillId="3" borderId="4" xfId="0" applyNumberFormat="1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9" fontId="0" fillId="3" borderId="5" xfId="2" applyFont="1" applyFill="1" applyBorder="1">
      <alignment vertical="center"/>
    </xf>
    <xf numFmtId="0" fontId="0" fillId="3" borderId="1" xfId="0" applyFill="1" applyBorder="1">
      <alignment vertical="center"/>
    </xf>
    <xf numFmtId="9" fontId="0" fillId="3" borderId="1" xfId="0" applyNumberFormat="1" applyFill="1" applyBorder="1">
      <alignment vertical="center"/>
    </xf>
    <xf numFmtId="43" fontId="0" fillId="3" borderId="0" xfId="0" applyNumberFormat="1" applyFill="1">
      <alignment vertical="center"/>
    </xf>
    <xf numFmtId="43" fontId="0" fillId="4" borderId="0" xfId="0" applyNumberFormat="1" applyFill="1">
      <alignment vertical="center"/>
    </xf>
    <xf numFmtId="0" fontId="6" fillId="3" borderId="0" xfId="0" applyFont="1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9" fontId="0" fillId="3" borderId="2" xfId="2" applyFont="1" applyFill="1" applyBorder="1" applyAlignment="1">
      <alignment horizontal="center" vertical="center"/>
    </xf>
    <xf numFmtId="41" fontId="0" fillId="3" borderId="5" xfId="1" applyFont="1" applyFill="1" applyBorder="1">
      <alignment vertical="center"/>
    </xf>
    <xf numFmtId="0" fontId="7" fillId="0" borderId="0" xfId="0" applyFont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left" vertical="center" wrapText="1"/>
    </xf>
    <xf numFmtId="4" fontId="8" fillId="5" borderId="8" xfId="0" applyNumberFormat="1" applyFont="1" applyFill="1" applyBorder="1" applyAlignment="1">
      <alignment horizontal="right" vertical="center" wrapText="1"/>
    </xf>
    <xf numFmtId="0" fontId="8" fillId="5" borderId="8" xfId="0" applyFont="1" applyFill="1" applyBorder="1" applyAlignment="1">
      <alignment horizontal="right" vertical="center" wrapText="1"/>
    </xf>
    <xf numFmtId="0" fontId="7" fillId="6" borderId="8" xfId="0" applyFont="1" applyFill="1" applyBorder="1" applyAlignment="1">
      <alignment horizontal="left" vertical="center" wrapText="1"/>
    </xf>
    <xf numFmtId="0" fontId="7" fillId="6" borderId="8" xfId="0" applyFont="1" applyFill="1" applyBorder="1" applyAlignment="1">
      <alignment horizontal="center" vertical="center" wrapText="1"/>
    </xf>
    <xf numFmtId="4" fontId="7" fillId="6" borderId="8" xfId="0" applyNumberFormat="1" applyFont="1" applyFill="1" applyBorder="1" applyAlignment="1">
      <alignment horizontal="right" vertical="center" wrapText="1"/>
    </xf>
    <xf numFmtId="0" fontId="7" fillId="6" borderId="8" xfId="0" applyFont="1" applyFill="1" applyBorder="1" applyAlignment="1">
      <alignment horizontal="righ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3" fontId="4" fillId="0" borderId="0" xfId="0" applyNumberFormat="1" applyFont="1" applyAlignment="1" applyProtection="1">
      <alignment horizontal="left" vertical="center"/>
      <protection locked="0"/>
    </xf>
  </cellXfs>
  <cellStyles count="3">
    <cellStyle name="백분율" xfId="2" builtinId="5"/>
    <cellStyle name="쉼표 [0]" xfId="1" builtinId="6"/>
    <cellStyle name="표준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24AAA-D112-44A4-866F-85B4211F62CA}">
  <dimension ref="B1:X205"/>
  <sheetViews>
    <sheetView zoomScale="70" zoomScaleNormal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P37" sqref="P37"/>
    </sheetView>
  </sheetViews>
  <sheetFormatPr defaultRowHeight="17.399999999999999" x14ac:dyDescent="0.4"/>
  <cols>
    <col min="1" max="1" width="4" style="9" customWidth="1"/>
    <col min="2" max="2" width="14" style="6" hidden="1" customWidth="1"/>
    <col min="3" max="3" width="18.69921875" style="8" customWidth="1"/>
    <col min="4" max="4" width="18" style="8" customWidth="1"/>
    <col min="5" max="7" width="18" style="9" customWidth="1"/>
    <col min="8" max="8" width="7.8984375" style="9" bestFit="1" customWidth="1"/>
    <col min="9" max="9" width="16.59765625" style="9" customWidth="1"/>
    <col min="10" max="10" width="8.8984375" style="10" bestFit="1" customWidth="1"/>
    <col min="11" max="11" width="18.69921875" style="9" bestFit="1" customWidth="1"/>
    <col min="12" max="12" width="14" style="6" hidden="1" customWidth="1"/>
    <col min="13" max="13" width="18.69921875" style="8" customWidth="1"/>
    <col min="14" max="14" width="18.5" style="8" customWidth="1"/>
    <col min="15" max="17" width="18.5" style="9" customWidth="1"/>
    <col min="18" max="18" width="13.5" style="9" customWidth="1"/>
    <col min="19" max="19" width="18.59765625" style="9" bestFit="1" customWidth="1"/>
    <col min="20" max="20" width="8.796875" style="9"/>
    <col min="21" max="21" width="13.5" style="9" bestFit="1" customWidth="1"/>
    <col min="22" max="22" width="15.8984375" style="9" bestFit="1" customWidth="1"/>
    <col min="23" max="23" width="14.19921875" style="9" bestFit="1" customWidth="1"/>
    <col min="24" max="24" width="11.69921875" style="9" bestFit="1" customWidth="1"/>
    <col min="25" max="16384" width="8.796875" style="9"/>
  </cols>
  <sheetData>
    <row r="1" spans="2:24" x14ac:dyDescent="0.4">
      <c r="C1" s="7">
        <v>3</v>
      </c>
      <c r="V1" s="45" t="s">
        <v>713</v>
      </c>
      <c r="W1" s="45"/>
      <c r="X1" s="45"/>
    </row>
    <row r="2" spans="2:24" x14ac:dyDescent="0.4">
      <c r="G2" s="45" t="s">
        <v>711</v>
      </c>
      <c r="H2" s="45"/>
      <c r="I2" s="45" t="s">
        <v>712</v>
      </c>
      <c r="J2" s="45"/>
      <c r="Q2" s="45" t="s">
        <v>711</v>
      </c>
      <c r="R2" s="45"/>
      <c r="S2" s="45" t="s">
        <v>712</v>
      </c>
      <c r="T2" s="45"/>
      <c r="V2" s="26" t="s">
        <v>704</v>
      </c>
      <c r="W2" s="26" t="s">
        <v>702</v>
      </c>
      <c r="X2" s="26" t="s">
        <v>703</v>
      </c>
    </row>
    <row r="3" spans="2:24" x14ac:dyDescent="0.4">
      <c r="B3" s="11" t="s">
        <v>0</v>
      </c>
      <c r="C3" s="12" t="s">
        <v>1</v>
      </c>
      <c r="D3" s="13" t="s">
        <v>705</v>
      </c>
      <c r="E3" s="13" t="s">
        <v>706</v>
      </c>
      <c r="F3" s="13" t="s">
        <v>707</v>
      </c>
      <c r="G3" s="13" t="s">
        <v>708</v>
      </c>
      <c r="H3" s="13" t="s">
        <v>710</v>
      </c>
      <c r="I3" s="13" t="s">
        <v>709</v>
      </c>
      <c r="J3" s="14" t="s">
        <v>710</v>
      </c>
      <c r="L3" s="11" t="s">
        <v>0</v>
      </c>
      <c r="M3" s="12" t="s">
        <v>1</v>
      </c>
      <c r="N3" s="13" t="s">
        <v>704</v>
      </c>
      <c r="O3" s="13" t="s">
        <v>702</v>
      </c>
      <c r="P3" s="13" t="s">
        <v>703</v>
      </c>
      <c r="Q3" s="13" t="s">
        <v>708</v>
      </c>
      <c r="R3" s="13" t="s">
        <v>710</v>
      </c>
      <c r="S3" s="13" t="s">
        <v>709</v>
      </c>
      <c r="T3" s="13" t="s">
        <v>710</v>
      </c>
      <c r="V3" s="27">
        <f>N21/N4</f>
        <v>0.7011075473325411</v>
      </c>
      <c r="W3" s="27">
        <f>O21/O4</f>
        <v>0.64987647854334374</v>
      </c>
      <c r="X3" s="27">
        <f>P21/P4</f>
        <v>0.66830861352178084</v>
      </c>
    </row>
    <row r="4" spans="2:24" x14ac:dyDescent="0.4">
      <c r="B4" s="15" t="s">
        <v>20</v>
      </c>
      <c r="C4" s="16" t="s">
        <v>21</v>
      </c>
      <c r="D4" s="17">
        <f>VLOOKUP(B4,BS!$A:$S,18,FALSE)-VLOOKUP(B4,BS!$A:$S,$C$1+5,FALSE)-VLOOKUP(B4,BS!$A:$S,$C$1+4,FALSE)</f>
        <v>61520348941.169998</v>
      </c>
      <c r="E4" s="17">
        <f>VLOOKUP(B4,BS!$A:$S,18,FALSE)-VLOOKUP(B4,BS!$A:$S,$C$1+5,FALSE)</f>
        <v>61057231338.580002</v>
      </c>
      <c r="F4" s="17">
        <f>VLOOKUP(B4,BS!$A:$S,18,FALSE)</f>
        <v>62937246474.709999</v>
      </c>
      <c r="G4" s="18">
        <f>E4-D4</f>
        <v>-463117602.58999634</v>
      </c>
      <c r="H4" s="19">
        <f>IFERROR(G4/D4,0)</f>
        <v>-7.5278767198290984E-3</v>
      </c>
      <c r="I4" s="18">
        <f>F4-E4</f>
        <v>1880015136.1299973</v>
      </c>
      <c r="J4" s="19">
        <f>IFERROR(I4/E4,0)</f>
        <v>3.0791031543909511E-2</v>
      </c>
      <c r="L4" s="15" t="s">
        <v>422</v>
      </c>
      <c r="M4" s="16" t="s">
        <v>423</v>
      </c>
      <c r="N4" s="17">
        <f>VLOOKUP(L4,PL!$A:$S,$C$1+3,FALSE)</f>
        <v>6516342640.1300001</v>
      </c>
      <c r="O4" s="17">
        <f>VLOOKUP(L4,PL!$A:$S,$C$1+4,FALSE)</f>
        <v>5365990787.6899996</v>
      </c>
      <c r="P4" s="17">
        <f>VLOOKUP(L4,PL!$A:$S,$C$1+5,FALSE)</f>
        <v>4551348449.5900002</v>
      </c>
      <c r="Q4" s="18">
        <f>O4-N4</f>
        <v>-1150351852.4400005</v>
      </c>
      <c r="R4" s="19">
        <f>IFERROR(Q4/N4,0)</f>
        <v>-0.17653335865976671</v>
      </c>
      <c r="S4" s="18">
        <f>P4-O4</f>
        <v>-814642338.09999943</v>
      </c>
      <c r="T4" s="19">
        <f>IFERROR(S4/O4,0)</f>
        <v>-0.15181582867582485</v>
      </c>
    </row>
    <row r="5" spans="2:24" x14ac:dyDescent="0.4">
      <c r="B5" s="15" t="s">
        <v>22</v>
      </c>
      <c r="C5" s="16" t="s">
        <v>23</v>
      </c>
      <c r="D5" s="17">
        <f>VLOOKUP(B5,BS!$A:$S,18,FALSE)-VLOOKUP(B5,BS!$A:$S,$C$1+5,FALSE)-VLOOKUP(B5,BS!$A:$S,$C$1+4,FALSE)</f>
        <v>60107756616.959999</v>
      </c>
      <c r="E5" s="17">
        <f>VLOOKUP(B5,BS!$A:$S,18,FALSE)-VLOOKUP(B5,BS!$A:$S,$C$1+5,FALSE)</f>
        <v>59643623776.629997</v>
      </c>
      <c r="F5" s="17">
        <f>VLOOKUP(B5,BS!$A:$S,18,FALSE)</f>
        <v>56989159991.589996</v>
      </c>
      <c r="G5" s="18">
        <f t="shared" ref="G5:G68" si="0">E5-D5</f>
        <v>-464132840.33000183</v>
      </c>
      <c r="H5" s="19">
        <f t="shared" ref="H5:H68" si="1">IFERROR(G5/D5,0)</f>
        <v>-7.7216796375834491E-3</v>
      </c>
      <c r="I5" s="18">
        <f t="shared" ref="I5:I68" si="2">F5-E5</f>
        <v>-2654463785.0400009</v>
      </c>
      <c r="J5" s="19">
        <f t="shared" ref="J5:J68" si="3">IFERROR(I5/E5,0)</f>
        <v>-4.4505407568479975E-2</v>
      </c>
      <c r="L5" s="15" t="s">
        <v>424</v>
      </c>
      <c r="M5" s="16" t="s">
        <v>425</v>
      </c>
      <c r="N5" s="17">
        <f>VLOOKUP(L5,PL!$A:$S,$C$1+3,FALSE)</f>
        <v>6516342640.1300001</v>
      </c>
      <c r="O5" s="17">
        <f>VLOOKUP(L5,PL!$A:$S,$C$1+4,FALSE)</f>
        <v>5365990787.6899996</v>
      </c>
      <c r="P5" s="17">
        <f>VLOOKUP(L5,PL!$A:$S,$C$1+5,FALSE)</f>
        <v>4551348449.5900002</v>
      </c>
      <c r="Q5" s="18">
        <f t="shared" ref="Q5:Q71" si="4">O5-N5</f>
        <v>-1150351852.4400005</v>
      </c>
      <c r="R5" s="19">
        <f t="shared" ref="R5:R71" si="5">IFERROR(Q5/N5,0)</f>
        <v>-0.17653335865976671</v>
      </c>
      <c r="S5" s="18">
        <f t="shared" ref="S5:S71" si="6">P5-O5</f>
        <v>-814642338.09999943</v>
      </c>
      <c r="T5" s="19">
        <f t="shared" ref="T5:T71" si="7">IFERROR(S5/O5,0)</f>
        <v>-0.15181582867582485</v>
      </c>
      <c r="V5" s="45" t="s">
        <v>714</v>
      </c>
      <c r="W5" s="45"/>
      <c r="X5" s="45"/>
    </row>
    <row r="6" spans="2:24" x14ac:dyDescent="0.4">
      <c r="B6" s="15" t="s">
        <v>24</v>
      </c>
      <c r="C6" s="16" t="s">
        <v>25</v>
      </c>
      <c r="D6" s="17">
        <f>VLOOKUP(B6,BS!$A:$S,18,FALSE)-VLOOKUP(B6,BS!$A:$S,$C$1+5,FALSE)-VLOOKUP(B6,BS!$A:$S,$C$1+4,FALSE)</f>
        <v>36002927222.169998</v>
      </c>
      <c r="E6" s="17">
        <f>VLOOKUP(B6,BS!$A:$S,18,FALSE)-VLOOKUP(B6,BS!$A:$S,$C$1+5,FALSE)</f>
        <v>34466630582.709999</v>
      </c>
      <c r="F6" s="17">
        <f>VLOOKUP(B6,BS!$A:$S,18,FALSE)</f>
        <v>31998928277.52</v>
      </c>
      <c r="G6" s="18">
        <f t="shared" si="0"/>
        <v>-1536296639.4599991</v>
      </c>
      <c r="H6" s="19">
        <f t="shared" si="1"/>
        <v>-4.2671436963435942E-2</v>
      </c>
      <c r="I6" s="18">
        <f t="shared" si="2"/>
        <v>-2467702305.1899986</v>
      </c>
      <c r="J6" s="19">
        <f t="shared" si="3"/>
        <v>-7.159685363697571E-2</v>
      </c>
      <c r="L6" s="6" t="s">
        <v>426</v>
      </c>
      <c r="M6" s="20" t="s">
        <v>427</v>
      </c>
      <c r="N6" s="17">
        <f>VLOOKUP(L6,PL!$A:$S,$C$1+3,FALSE)</f>
        <v>199204943.72</v>
      </c>
      <c r="O6" s="17">
        <f>VLOOKUP(L6,PL!$A:$S,$C$1+4,FALSE)</f>
        <v>165464292.71000001</v>
      </c>
      <c r="P6" s="17">
        <f>VLOOKUP(L6,PL!$A:$S,$C$1+5,FALSE)</f>
        <v>223241057.55000001</v>
      </c>
      <c r="Q6" s="18">
        <f t="shared" si="4"/>
        <v>-33740651.00999999</v>
      </c>
      <c r="R6" s="19">
        <f t="shared" si="5"/>
        <v>-0.16937657459658947</v>
      </c>
      <c r="S6" s="18">
        <f t="shared" si="6"/>
        <v>57776764.840000004</v>
      </c>
      <c r="T6" s="19">
        <f t="shared" si="7"/>
        <v>0.34917965618879537</v>
      </c>
      <c r="V6" s="26" t="s">
        <v>704</v>
      </c>
      <c r="W6" s="26" t="s">
        <v>702</v>
      </c>
      <c r="X6" s="26" t="s">
        <v>703</v>
      </c>
    </row>
    <row r="7" spans="2:24" x14ac:dyDescent="0.4">
      <c r="B7" s="6" t="s">
        <v>26</v>
      </c>
      <c r="C7" s="20" t="s">
        <v>27</v>
      </c>
      <c r="D7" s="17">
        <f>VLOOKUP(B7,BS!$A:$S,18,FALSE)-VLOOKUP(B7,BS!$A:$S,$C$1+5,FALSE)-VLOOKUP(B7,BS!$A:$S,$C$1+4,FALSE)</f>
        <v>6899736804.25</v>
      </c>
      <c r="E7" s="17">
        <f>VLOOKUP(B7,BS!$A:$S,18,FALSE)-VLOOKUP(B7,BS!$A:$S,$C$1+5,FALSE)</f>
        <v>5948744833.0200005</v>
      </c>
      <c r="F7" s="17">
        <f>VLOOKUP(B7,BS!$A:$S,18,FALSE)</f>
        <v>4584808451</v>
      </c>
      <c r="G7" s="18">
        <f t="shared" si="0"/>
        <v>-950991971.22999954</v>
      </c>
      <c r="H7" s="19">
        <f t="shared" si="1"/>
        <v>-0.13783018080403028</v>
      </c>
      <c r="I7" s="18">
        <f t="shared" si="2"/>
        <v>-1363936382.0200005</v>
      </c>
      <c r="J7" s="19">
        <f t="shared" si="3"/>
        <v>-0.22928137284509656</v>
      </c>
      <c r="L7" s="6" t="s">
        <v>428</v>
      </c>
      <c r="M7" s="20" t="s">
        <v>429</v>
      </c>
      <c r="N7" s="17">
        <f>VLOOKUP(L7,PL!$A:$S,$C$1+3,FALSE)</f>
        <v>6299426409.2399998</v>
      </c>
      <c r="O7" s="17">
        <f>VLOOKUP(L7,PL!$A:$S,$C$1+4,FALSE)</f>
        <v>5197408163</v>
      </c>
      <c r="P7" s="17">
        <f>VLOOKUP(L7,PL!$A:$S,$C$1+5,FALSE)</f>
        <v>4320297867.5900002</v>
      </c>
      <c r="Q7" s="18">
        <f t="shared" si="4"/>
        <v>-1102018246.2399998</v>
      </c>
      <c r="R7" s="19">
        <f t="shared" si="5"/>
        <v>-0.17493945871382183</v>
      </c>
      <c r="S7" s="18">
        <f t="shared" si="6"/>
        <v>-877110295.40999985</v>
      </c>
      <c r="T7" s="19">
        <f t="shared" si="7"/>
        <v>-0.16875917147590777</v>
      </c>
      <c r="V7" s="27">
        <f>D5/D114</f>
        <v>0.89116825054386062</v>
      </c>
      <c r="W7" s="27">
        <f t="shared" ref="W7:X7" si="8">E5/E114</f>
        <v>0.89424668073274505</v>
      </c>
      <c r="X7" s="27">
        <f t="shared" si="8"/>
        <v>0.86247967577659501</v>
      </c>
    </row>
    <row r="8" spans="2:24" x14ac:dyDescent="0.4">
      <c r="B8" s="6" t="s">
        <v>28</v>
      </c>
      <c r="C8" s="20" t="s">
        <v>29</v>
      </c>
      <c r="D8" s="17">
        <f>VLOOKUP(B8,BS!$A:$S,18,FALSE)-VLOOKUP(B8,BS!$A:$S,$C$1+5,FALSE)-VLOOKUP(B8,BS!$A:$S,$C$1+4,FALSE)</f>
        <v>0</v>
      </c>
      <c r="E8" s="17">
        <f>VLOOKUP(B8,BS!$A:$S,18,FALSE)-VLOOKUP(B8,BS!$A:$S,$C$1+5,FALSE)</f>
        <v>0</v>
      </c>
      <c r="F8" s="17">
        <f>VLOOKUP(B8,BS!$A:$S,18,FALSE)</f>
        <v>0</v>
      </c>
      <c r="G8" s="18">
        <f t="shared" si="0"/>
        <v>0</v>
      </c>
      <c r="H8" s="19">
        <f t="shared" si="1"/>
        <v>0</v>
      </c>
      <c r="I8" s="18">
        <f t="shared" si="2"/>
        <v>0</v>
      </c>
      <c r="J8" s="19">
        <f t="shared" si="3"/>
        <v>0</v>
      </c>
      <c r="L8" s="6" t="s">
        <v>430</v>
      </c>
      <c r="M8" s="20" t="s">
        <v>431</v>
      </c>
      <c r="N8" s="17">
        <f>VLOOKUP(L8,PL!$A:$S,$C$1+3,FALSE)</f>
        <v>17139858.59</v>
      </c>
      <c r="O8" s="17">
        <f>VLOOKUP(L8,PL!$A:$S,$C$1+4,FALSE)</f>
        <v>2975474.84</v>
      </c>
      <c r="P8" s="17">
        <f>VLOOKUP(L8,PL!$A:$S,$C$1+5,FALSE)</f>
        <v>8416667.3100000005</v>
      </c>
      <c r="Q8" s="18">
        <f t="shared" si="4"/>
        <v>-14164383.75</v>
      </c>
      <c r="R8" s="19">
        <f t="shared" si="5"/>
        <v>-0.82640026903512509</v>
      </c>
      <c r="S8" s="18">
        <f t="shared" si="6"/>
        <v>5441192.4700000007</v>
      </c>
      <c r="T8" s="19">
        <f t="shared" si="7"/>
        <v>1.8286803829939295</v>
      </c>
    </row>
    <row r="9" spans="2:24" x14ac:dyDescent="0.4">
      <c r="B9" s="6" t="s">
        <v>30</v>
      </c>
      <c r="C9" s="20" t="s">
        <v>31</v>
      </c>
      <c r="D9" s="17">
        <f>VLOOKUP(B9,BS!$A:$S,18,FALSE)-VLOOKUP(B9,BS!$A:$S,$C$1+5,FALSE)-VLOOKUP(B9,BS!$A:$S,$C$1+4,FALSE)</f>
        <v>0</v>
      </c>
      <c r="E9" s="17">
        <f>VLOOKUP(B9,BS!$A:$S,18,FALSE)-VLOOKUP(B9,BS!$A:$S,$C$1+5,FALSE)</f>
        <v>0</v>
      </c>
      <c r="F9" s="17">
        <f>VLOOKUP(B9,BS!$A:$S,18,FALSE)</f>
        <v>0</v>
      </c>
      <c r="G9" s="18">
        <f t="shared" si="0"/>
        <v>0</v>
      </c>
      <c r="H9" s="19">
        <f t="shared" si="1"/>
        <v>0</v>
      </c>
      <c r="I9" s="18">
        <f t="shared" si="2"/>
        <v>0</v>
      </c>
      <c r="J9" s="19">
        <f t="shared" si="3"/>
        <v>0</v>
      </c>
      <c r="L9" s="6" t="s">
        <v>432</v>
      </c>
      <c r="M9" s="20" t="s">
        <v>433</v>
      </c>
      <c r="N9" s="17">
        <f>VLOOKUP(L9,PL!$A:$S,$C$1+3,FALSE)</f>
        <v>0</v>
      </c>
      <c r="O9" s="17">
        <f>VLOOKUP(L9,PL!$A:$S,$C$1+4,FALSE)</f>
        <v>0</v>
      </c>
      <c r="P9" s="17">
        <f>VLOOKUP(L9,PL!$A:$S,$C$1+5,FALSE)</f>
        <v>0</v>
      </c>
      <c r="Q9" s="18">
        <f t="shared" si="4"/>
        <v>0</v>
      </c>
      <c r="R9" s="19">
        <f t="shared" si="5"/>
        <v>0</v>
      </c>
      <c r="S9" s="18">
        <f t="shared" si="6"/>
        <v>0</v>
      </c>
      <c r="T9" s="19">
        <f t="shared" si="7"/>
        <v>0</v>
      </c>
      <c r="V9" s="45" t="s">
        <v>715</v>
      </c>
      <c r="W9" s="45"/>
      <c r="X9" s="45"/>
    </row>
    <row r="10" spans="2:24" x14ac:dyDescent="0.4">
      <c r="B10" s="6" t="s">
        <v>32</v>
      </c>
      <c r="C10" s="20" t="s">
        <v>33</v>
      </c>
      <c r="D10" s="17">
        <f>VLOOKUP(B10,BS!$A:$S,18,FALSE)-VLOOKUP(B10,BS!$A:$S,$C$1+5,FALSE)-VLOOKUP(B10,BS!$A:$S,$C$1+4,FALSE)</f>
        <v>0</v>
      </c>
      <c r="E10" s="17">
        <f>VLOOKUP(B10,BS!$A:$S,18,FALSE)-VLOOKUP(B10,BS!$A:$S,$C$1+5,FALSE)</f>
        <v>0</v>
      </c>
      <c r="F10" s="17">
        <f>VLOOKUP(B10,BS!$A:$S,18,FALSE)</f>
        <v>0</v>
      </c>
      <c r="G10" s="18">
        <f t="shared" si="0"/>
        <v>0</v>
      </c>
      <c r="H10" s="19">
        <f t="shared" si="1"/>
        <v>0</v>
      </c>
      <c r="I10" s="18">
        <f t="shared" si="2"/>
        <v>0</v>
      </c>
      <c r="J10" s="19">
        <f t="shared" si="3"/>
        <v>0</v>
      </c>
      <c r="L10" s="6" t="s">
        <v>434</v>
      </c>
      <c r="M10" s="20" t="s">
        <v>435</v>
      </c>
      <c r="N10" s="17">
        <f>VLOOKUP(L10,PL!$A:$S,$C$1+3,FALSE)</f>
        <v>571428.57999999996</v>
      </c>
      <c r="O10" s="17">
        <f>VLOOKUP(L10,PL!$A:$S,$C$1+4,FALSE)</f>
        <v>142857.14000000001</v>
      </c>
      <c r="P10" s="17">
        <f>VLOOKUP(L10,PL!$A:$S,$C$1+5,FALSE)</f>
        <v>-607142.86</v>
      </c>
      <c r="Q10" s="18">
        <f t="shared" si="4"/>
        <v>-428571.43999999994</v>
      </c>
      <c r="R10" s="19">
        <f t="shared" si="5"/>
        <v>-0.75000000874999984</v>
      </c>
      <c r="S10" s="18">
        <f t="shared" si="6"/>
        <v>-750000</v>
      </c>
      <c r="T10" s="19">
        <f t="shared" si="7"/>
        <v>-5.2500001050000016</v>
      </c>
      <c r="V10" s="26" t="s">
        <v>704</v>
      </c>
      <c r="W10" s="26" t="s">
        <v>702</v>
      </c>
      <c r="X10" s="26" t="s">
        <v>703</v>
      </c>
    </row>
    <row r="11" spans="2:24" x14ac:dyDescent="0.4">
      <c r="B11" s="6" t="s">
        <v>34</v>
      </c>
      <c r="C11" s="20" t="s">
        <v>35</v>
      </c>
      <c r="D11" s="17">
        <f>VLOOKUP(B11,BS!$A:$S,18,FALSE)-VLOOKUP(B11,BS!$A:$S,$C$1+5,FALSE)-VLOOKUP(B11,BS!$A:$S,$C$1+4,FALSE)</f>
        <v>0</v>
      </c>
      <c r="E11" s="17">
        <f>VLOOKUP(B11,BS!$A:$S,18,FALSE)-VLOOKUP(B11,BS!$A:$S,$C$1+5,FALSE)</f>
        <v>0</v>
      </c>
      <c r="F11" s="17">
        <f>VLOOKUP(B11,BS!$A:$S,18,FALSE)</f>
        <v>0</v>
      </c>
      <c r="G11" s="18">
        <f t="shared" si="0"/>
        <v>0</v>
      </c>
      <c r="H11" s="19">
        <f t="shared" si="1"/>
        <v>0</v>
      </c>
      <c r="I11" s="18">
        <f t="shared" si="2"/>
        <v>0</v>
      </c>
      <c r="J11" s="19">
        <f t="shared" si="3"/>
        <v>0</v>
      </c>
      <c r="L11" s="6" t="s">
        <v>436</v>
      </c>
      <c r="M11" s="20" t="s">
        <v>437</v>
      </c>
      <c r="N11" s="17">
        <f>VLOOKUP(L11,PL!$A:$S,$C$1+3,FALSE)</f>
        <v>0</v>
      </c>
      <c r="O11" s="17">
        <f>VLOOKUP(L11,PL!$A:$S,$C$1+4,FALSE)</f>
        <v>0</v>
      </c>
      <c r="P11" s="17">
        <f>VLOOKUP(L11,PL!$A:$S,$C$1+5,FALSE)</f>
        <v>0</v>
      </c>
      <c r="Q11" s="18">
        <f t="shared" si="4"/>
        <v>0</v>
      </c>
      <c r="R11" s="19">
        <f t="shared" si="5"/>
        <v>0</v>
      </c>
      <c r="S11" s="18">
        <f t="shared" si="6"/>
        <v>0</v>
      </c>
      <c r="T11" s="19">
        <f t="shared" si="7"/>
        <v>0</v>
      </c>
      <c r="V11" s="27">
        <f>D113/D162</f>
        <v>-11.133472102930588</v>
      </c>
      <c r="W11" s="27">
        <f t="shared" ref="W11:X11" si="9">E113/E162</f>
        <v>-11.558217582763959</v>
      </c>
      <c r="X11" s="27">
        <f t="shared" si="9"/>
        <v>-10.874032601412813</v>
      </c>
    </row>
    <row r="12" spans="2:24" x14ac:dyDescent="0.4">
      <c r="B12" s="6" t="s">
        <v>36</v>
      </c>
      <c r="C12" s="20" t="s">
        <v>37</v>
      </c>
      <c r="D12" s="17">
        <f>VLOOKUP(B12,BS!$A:$S,18,FALSE)-VLOOKUP(B12,BS!$A:$S,$C$1+5,FALSE)-VLOOKUP(B12,BS!$A:$S,$C$1+4,FALSE)</f>
        <v>0</v>
      </c>
      <c r="E12" s="17">
        <f>VLOOKUP(B12,BS!$A:$S,18,FALSE)-VLOOKUP(B12,BS!$A:$S,$C$1+5,FALSE)</f>
        <v>0</v>
      </c>
      <c r="F12" s="17">
        <f>VLOOKUP(B12,BS!$A:$S,18,FALSE)</f>
        <v>0</v>
      </c>
      <c r="G12" s="18">
        <f t="shared" si="0"/>
        <v>0</v>
      </c>
      <c r="H12" s="19">
        <f t="shared" si="1"/>
        <v>0</v>
      </c>
      <c r="I12" s="18">
        <f t="shared" si="2"/>
        <v>0</v>
      </c>
      <c r="J12" s="19">
        <f t="shared" si="3"/>
        <v>0</v>
      </c>
      <c r="L12" s="6" t="s">
        <v>438</v>
      </c>
      <c r="M12" s="20" t="s">
        <v>439</v>
      </c>
      <c r="N12" s="17">
        <f>VLOOKUP(L12,PL!$A:$S,$C$1+3,FALSE)</f>
        <v>0</v>
      </c>
      <c r="O12" s="17">
        <f>VLOOKUP(L12,PL!$A:$S,$C$1+4,FALSE)</f>
        <v>0</v>
      </c>
      <c r="P12" s="17">
        <f>VLOOKUP(L12,PL!$A:$S,$C$1+5,FALSE)</f>
        <v>0</v>
      </c>
      <c r="Q12" s="18">
        <f t="shared" si="4"/>
        <v>0</v>
      </c>
      <c r="R12" s="19">
        <f t="shared" si="5"/>
        <v>0</v>
      </c>
      <c r="S12" s="18">
        <f t="shared" si="6"/>
        <v>0</v>
      </c>
      <c r="T12" s="19">
        <f t="shared" si="7"/>
        <v>0</v>
      </c>
    </row>
    <row r="13" spans="2:24" x14ac:dyDescent="0.4">
      <c r="B13" s="6" t="s">
        <v>38</v>
      </c>
      <c r="C13" s="20" t="s">
        <v>39</v>
      </c>
      <c r="D13" s="17">
        <f>VLOOKUP(B13,BS!$A:$S,18,FALSE)-VLOOKUP(B13,BS!$A:$S,$C$1+5,FALSE)-VLOOKUP(B13,BS!$A:$S,$C$1+4,FALSE)</f>
        <v>26945882553.349998</v>
      </c>
      <c r="E13" s="17">
        <f>VLOOKUP(B13,BS!$A:$S,18,FALSE)-VLOOKUP(B13,BS!$A:$S,$C$1+5,FALSE)</f>
        <v>25950754528</v>
      </c>
      <c r="F13" s="17">
        <f>VLOOKUP(B13,BS!$A:$S,18,FALSE)</f>
        <v>25356139359.349998</v>
      </c>
      <c r="G13" s="18">
        <f t="shared" si="0"/>
        <v>-995128025.34999847</v>
      </c>
      <c r="H13" s="19">
        <f t="shared" si="1"/>
        <v>-3.6930615405888087E-2</v>
      </c>
      <c r="I13" s="18">
        <f t="shared" si="2"/>
        <v>-594615168.65000153</v>
      </c>
      <c r="J13" s="19">
        <f t="shared" si="3"/>
        <v>-2.2913213101701208E-2</v>
      </c>
      <c r="L13" s="6" t="s">
        <v>440</v>
      </c>
      <c r="M13" s="20" t="s">
        <v>441</v>
      </c>
      <c r="N13" s="17">
        <f>VLOOKUP(L13,PL!$A:$S,$C$1+3,FALSE)</f>
        <v>0</v>
      </c>
      <c r="O13" s="17">
        <f>VLOOKUP(L13,PL!$A:$S,$C$1+4,FALSE)</f>
        <v>0</v>
      </c>
      <c r="P13" s="17">
        <f>VLOOKUP(L13,PL!$A:$S,$C$1+5,FALSE)</f>
        <v>0</v>
      </c>
      <c r="Q13" s="18">
        <f t="shared" si="4"/>
        <v>0</v>
      </c>
      <c r="R13" s="19">
        <f t="shared" si="5"/>
        <v>0</v>
      </c>
      <c r="S13" s="18">
        <f t="shared" si="6"/>
        <v>0</v>
      </c>
      <c r="T13" s="19">
        <f t="shared" si="7"/>
        <v>0</v>
      </c>
      <c r="V13" s="45" t="s">
        <v>716</v>
      </c>
      <c r="W13" s="45"/>
      <c r="X13" s="45"/>
    </row>
    <row r="14" spans="2:24" x14ac:dyDescent="0.4">
      <c r="B14" s="6" t="s">
        <v>40</v>
      </c>
      <c r="C14" s="20" t="s">
        <v>41</v>
      </c>
      <c r="D14" s="17">
        <f>VLOOKUP(B14,BS!$A:$S,18,FALSE)-VLOOKUP(B14,BS!$A:$S,$C$1+5,FALSE)-VLOOKUP(B14,BS!$A:$S,$C$1+4,FALSE)</f>
        <v>-474649364</v>
      </c>
      <c r="E14" s="17">
        <f>VLOOKUP(B14,BS!$A:$S,18,FALSE)-VLOOKUP(B14,BS!$A:$S,$C$1+5,FALSE)</f>
        <v>-481926782.69999999</v>
      </c>
      <c r="F14" s="17">
        <f>VLOOKUP(B14,BS!$A:$S,18,FALSE)</f>
        <v>-510263020</v>
      </c>
      <c r="G14" s="18">
        <f t="shared" si="0"/>
        <v>-7277418.6999999881</v>
      </c>
      <c r="H14" s="19">
        <f t="shared" si="1"/>
        <v>1.5332199412785873E-2</v>
      </c>
      <c r="I14" s="18">
        <f t="shared" si="2"/>
        <v>-28336237.300000012</v>
      </c>
      <c r="J14" s="19">
        <f t="shared" si="3"/>
        <v>5.8797805636046904E-2</v>
      </c>
      <c r="L14" s="6" t="s">
        <v>442</v>
      </c>
      <c r="M14" s="20" t="s">
        <v>443</v>
      </c>
      <c r="N14" s="17">
        <f>VLOOKUP(L14,PL!$A:$S,$C$1+3,FALSE)</f>
        <v>0</v>
      </c>
      <c r="O14" s="17">
        <f>VLOOKUP(L14,PL!$A:$S,$C$1+4,FALSE)</f>
        <v>0</v>
      </c>
      <c r="P14" s="17">
        <f>VLOOKUP(L14,PL!$A:$S,$C$1+5,FALSE)</f>
        <v>0</v>
      </c>
      <c r="Q14" s="18">
        <f t="shared" si="4"/>
        <v>0</v>
      </c>
      <c r="R14" s="19">
        <f t="shared" si="5"/>
        <v>0</v>
      </c>
      <c r="S14" s="18">
        <f t="shared" si="6"/>
        <v>0</v>
      </c>
      <c r="T14" s="19">
        <f t="shared" si="7"/>
        <v>0</v>
      </c>
      <c r="V14" s="26" t="s">
        <v>704</v>
      </c>
      <c r="W14" s="26" t="s">
        <v>702</v>
      </c>
      <c r="X14" s="26" t="s">
        <v>703</v>
      </c>
    </row>
    <row r="15" spans="2:24" x14ac:dyDescent="0.4">
      <c r="B15" s="6" t="s">
        <v>42</v>
      </c>
      <c r="C15" s="20" t="s">
        <v>43</v>
      </c>
      <c r="D15" s="17">
        <f>VLOOKUP(B15,BS!$A:$S,18,FALSE)-VLOOKUP(B15,BS!$A:$S,$C$1+5,FALSE)-VLOOKUP(B15,BS!$A:$S,$C$1+4,FALSE)</f>
        <v>0</v>
      </c>
      <c r="E15" s="17">
        <f>VLOOKUP(B15,BS!$A:$S,18,FALSE)-VLOOKUP(B15,BS!$A:$S,$C$1+5,FALSE)</f>
        <v>0</v>
      </c>
      <c r="F15" s="17">
        <f>VLOOKUP(B15,BS!$A:$S,18,FALSE)</f>
        <v>0</v>
      </c>
      <c r="G15" s="18">
        <f t="shared" si="0"/>
        <v>0</v>
      </c>
      <c r="H15" s="19">
        <f t="shared" si="1"/>
        <v>0</v>
      </c>
      <c r="I15" s="18">
        <f t="shared" si="2"/>
        <v>0</v>
      </c>
      <c r="J15" s="19">
        <f t="shared" si="3"/>
        <v>0</v>
      </c>
      <c r="L15" s="6" t="s">
        <v>444</v>
      </c>
      <c r="M15" s="20" t="s">
        <v>445</v>
      </c>
      <c r="N15" s="17">
        <f>VLOOKUP(L15,PL!$A:$S,$C$1+3,FALSE)</f>
        <v>0</v>
      </c>
      <c r="O15" s="17">
        <f>VLOOKUP(L15,PL!$A:$S,$C$1+4,FALSE)</f>
        <v>0</v>
      </c>
      <c r="P15" s="17">
        <f>VLOOKUP(L15,PL!$A:$S,$C$1+5,FALSE)</f>
        <v>0</v>
      </c>
      <c r="Q15" s="18">
        <f t="shared" si="4"/>
        <v>0</v>
      </c>
      <c r="R15" s="19">
        <f t="shared" si="5"/>
        <v>0</v>
      </c>
      <c r="S15" s="18">
        <f t="shared" si="6"/>
        <v>0</v>
      </c>
      <c r="T15" s="19">
        <f t="shared" si="7"/>
        <v>0</v>
      </c>
      <c r="V15" s="27">
        <f>N76/N4</f>
        <v>3.3376411576427026E-2</v>
      </c>
      <c r="W15" s="27">
        <f>O76/O4</f>
        <v>9.4723848979772873E-4</v>
      </c>
      <c r="X15" s="27">
        <f>P76/P4</f>
        <v>-4.6462919500054933E-2</v>
      </c>
    </row>
    <row r="16" spans="2:24" x14ac:dyDescent="0.4">
      <c r="B16" s="6" t="s">
        <v>44</v>
      </c>
      <c r="C16" s="20" t="s">
        <v>45</v>
      </c>
      <c r="D16" s="17">
        <f>VLOOKUP(B16,BS!$A:$S,18,FALSE)-VLOOKUP(B16,BS!$A:$S,$C$1+5,FALSE)-VLOOKUP(B16,BS!$A:$S,$C$1+4,FALSE)</f>
        <v>419934309.94000006</v>
      </c>
      <c r="E16" s="17">
        <f>VLOOKUP(B16,BS!$A:$S,18,FALSE)-VLOOKUP(B16,BS!$A:$S,$C$1+5,FALSE)</f>
        <v>492035470.21000004</v>
      </c>
      <c r="F16" s="17">
        <f>VLOOKUP(B16,BS!$A:$S,18,FALSE)</f>
        <v>148532587.22</v>
      </c>
      <c r="G16" s="18">
        <f t="shared" si="0"/>
        <v>72101160.269999981</v>
      </c>
      <c r="H16" s="19">
        <f t="shared" si="1"/>
        <v>0.17169628335513179</v>
      </c>
      <c r="I16" s="18">
        <f t="shared" si="2"/>
        <v>-343502882.99000001</v>
      </c>
      <c r="J16" s="19">
        <f t="shared" si="3"/>
        <v>-0.69812626078236484</v>
      </c>
      <c r="L16" s="6" t="s">
        <v>446</v>
      </c>
      <c r="M16" s="20" t="s">
        <v>447</v>
      </c>
      <c r="N16" s="17">
        <f>VLOOKUP(L16,PL!$A:$S,$C$1+3,FALSE)</f>
        <v>0</v>
      </c>
      <c r="O16" s="17">
        <f>VLOOKUP(L16,PL!$A:$S,$C$1+4,FALSE)</f>
        <v>0</v>
      </c>
      <c r="P16" s="17">
        <f>VLOOKUP(L16,PL!$A:$S,$C$1+5,FALSE)</f>
        <v>0</v>
      </c>
      <c r="Q16" s="18">
        <f t="shared" si="4"/>
        <v>0</v>
      </c>
      <c r="R16" s="19">
        <f t="shared" si="5"/>
        <v>0</v>
      </c>
      <c r="S16" s="18">
        <f t="shared" si="6"/>
        <v>0</v>
      </c>
      <c r="T16" s="19">
        <f t="shared" si="7"/>
        <v>0</v>
      </c>
    </row>
    <row r="17" spans="2:24" x14ac:dyDescent="0.4">
      <c r="B17" s="6" t="s">
        <v>46</v>
      </c>
      <c r="C17" s="20" t="s">
        <v>47</v>
      </c>
      <c r="D17" s="17">
        <f>VLOOKUP(B17,BS!$A:$S,18,FALSE)-VLOOKUP(B17,BS!$A:$S,$C$1+5,FALSE)-VLOOKUP(B17,BS!$A:$S,$C$1+4,FALSE)</f>
        <v>0</v>
      </c>
      <c r="E17" s="17">
        <f>VLOOKUP(B17,BS!$A:$S,18,FALSE)-VLOOKUP(B17,BS!$A:$S,$C$1+5,FALSE)</f>
        <v>0</v>
      </c>
      <c r="F17" s="17">
        <f>VLOOKUP(B17,BS!$A:$S,18,FALSE)</f>
        <v>0</v>
      </c>
      <c r="G17" s="18">
        <f t="shared" si="0"/>
        <v>0</v>
      </c>
      <c r="H17" s="19">
        <f t="shared" si="1"/>
        <v>0</v>
      </c>
      <c r="I17" s="18">
        <f t="shared" si="2"/>
        <v>0</v>
      </c>
      <c r="J17" s="19">
        <f t="shared" si="3"/>
        <v>0</v>
      </c>
      <c r="L17" s="6" t="s">
        <v>448</v>
      </c>
      <c r="M17" s="20" t="s">
        <v>449</v>
      </c>
      <c r="N17" s="17">
        <f>VLOOKUP(L17,PL!$A:$S,$C$1+3,FALSE)</f>
        <v>0</v>
      </c>
      <c r="O17" s="17">
        <f>VLOOKUP(L17,PL!$A:$S,$C$1+4,FALSE)</f>
        <v>0</v>
      </c>
      <c r="P17" s="17">
        <f>VLOOKUP(L17,PL!$A:$S,$C$1+5,FALSE)</f>
        <v>0</v>
      </c>
      <c r="Q17" s="18">
        <f t="shared" si="4"/>
        <v>0</v>
      </c>
      <c r="R17" s="19">
        <f t="shared" si="5"/>
        <v>0</v>
      </c>
      <c r="S17" s="18">
        <f t="shared" si="6"/>
        <v>0</v>
      </c>
      <c r="T17" s="19">
        <f t="shared" si="7"/>
        <v>0</v>
      </c>
    </row>
    <row r="18" spans="2:24" x14ac:dyDescent="0.4">
      <c r="B18" s="6" t="s">
        <v>48</v>
      </c>
      <c r="C18" s="20" t="s">
        <v>49</v>
      </c>
      <c r="D18" s="17">
        <f>VLOOKUP(B18,BS!$A:$S,18,FALSE)-VLOOKUP(B18,BS!$A:$S,$C$1+5,FALSE)-VLOOKUP(B18,BS!$A:$S,$C$1+4,FALSE)</f>
        <v>0</v>
      </c>
      <c r="E18" s="17">
        <f>VLOOKUP(B18,BS!$A:$S,18,FALSE)-VLOOKUP(B18,BS!$A:$S,$C$1+5,FALSE)</f>
        <v>0</v>
      </c>
      <c r="F18" s="17">
        <f>VLOOKUP(B18,BS!$A:$S,18,FALSE)</f>
        <v>0</v>
      </c>
      <c r="G18" s="18">
        <f t="shared" si="0"/>
        <v>0</v>
      </c>
      <c r="H18" s="19">
        <f t="shared" si="1"/>
        <v>0</v>
      </c>
      <c r="I18" s="18">
        <f t="shared" si="2"/>
        <v>0</v>
      </c>
      <c r="J18" s="19">
        <f t="shared" si="3"/>
        <v>0</v>
      </c>
      <c r="L18" s="6" t="s">
        <v>450</v>
      </c>
      <c r="M18" s="20" t="s">
        <v>451</v>
      </c>
      <c r="N18" s="17">
        <f>VLOOKUP(L18,PL!$A:$S,$C$1+3,FALSE)</f>
        <v>0</v>
      </c>
      <c r="O18" s="17">
        <f>VLOOKUP(L18,PL!$A:$S,$C$1+4,FALSE)</f>
        <v>0</v>
      </c>
      <c r="P18" s="17">
        <f>VLOOKUP(L18,PL!$A:$S,$C$1+5,FALSE)</f>
        <v>0</v>
      </c>
      <c r="Q18" s="18">
        <f t="shared" si="4"/>
        <v>0</v>
      </c>
      <c r="R18" s="19">
        <f t="shared" si="5"/>
        <v>0</v>
      </c>
      <c r="S18" s="18">
        <f t="shared" si="6"/>
        <v>0</v>
      </c>
      <c r="T18" s="19">
        <f t="shared" si="7"/>
        <v>0</v>
      </c>
      <c r="V18" s="45" t="s">
        <v>735</v>
      </c>
      <c r="W18" s="45"/>
      <c r="X18" s="45"/>
    </row>
    <row r="19" spans="2:24" x14ac:dyDescent="0.4">
      <c r="B19" s="6" t="s">
        <v>50</v>
      </c>
      <c r="C19" s="20" t="s">
        <v>51</v>
      </c>
      <c r="D19" s="17">
        <f>VLOOKUP(B19,BS!$A:$S,18,FALSE)-VLOOKUP(B19,BS!$A:$S,$C$1+5,FALSE)-VLOOKUP(B19,BS!$A:$S,$C$1+4,FALSE)</f>
        <v>0</v>
      </c>
      <c r="E19" s="17">
        <f>VLOOKUP(B19,BS!$A:$S,18,FALSE)-VLOOKUP(B19,BS!$A:$S,$C$1+5,FALSE)</f>
        <v>0</v>
      </c>
      <c r="F19" s="17">
        <f>VLOOKUP(B19,BS!$A:$S,18,FALSE)</f>
        <v>0</v>
      </c>
      <c r="G19" s="18">
        <f t="shared" si="0"/>
        <v>0</v>
      </c>
      <c r="H19" s="19">
        <f t="shared" si="1"/>
        <v>0</v>
      </c>
      <c r="I19" s="18">
        <f t="shared" si="2"/>
        <v>0</v>
      </c>
      <c r="J19" s="19">
        <f t="shared" si="3"/>
        <v>0</v>
      </c>
      <c r="L19" s="6" t="s">
        <v>737</v>
      </c>
      <c r="M19" s="20" t="s">
        <v>738</v>
      </c>
      <c r="N19" s="17">
        <f>VLOOKUP(L19,PL!$A:$S,$C$1+3,FALSE)</f>
        <v>0</v>
      </c>
      <c r="O19" s="17">
        <f>VLOOKUP(L19,PL!$A:$S,$C$1+4,FALSE)</f>
        <v>0</v>
      </c>
      <c r="P19" s="17">
        <f>VLOOKUP(L19,PL!$A:$S,$C$1+5,FALSE)</f>
        <v>0</v>
      </c>
      <c r="Q19" s="18">
        <f t="shared" ref="Q19" si="10">O19-N19</f>
        <v>0</v>
      </c>
      <c r="R19" s="19">
        <f t="shared" ref="R19" si="11">IFERROR(Q19/N19,0)</f>
        <v>0</v>
      </c>
      <c r="S19" s="18">
        <f t="shared" ref="S19" si="12">P19-O19</f>
        <v>0</v>
      </c>
      <c r="T19" s="19">
        <f t="shared" ref="T19" si="13">IFERROR(S19/O19,0)</f>
        <v>0</v>
      </c>
      <c r="V19" s="26" t="s">
        <v>704</v>
      </c>
      <c r="W19" s="26" t="s">
        <v>702</v>
      </c>
      <c r="X19" s="26" t="s">
        <v>703</v>
      </c>
    </row>
    <row r="20" spans="2:24" x14ac:dyDescent="0.4">
      <c r="B20" s="6" t="s">
        <v>52</v>
      </c>
      <c r="C20" s="20" t="s">
        <v>53</v>
      </c>
      <c r="D20" s="17">
        <f>VLOOKUP(B20,BS!$A:$S,18,FALSE)-VLOOKUP(B20,BS!$A:$S,$C$1+5,FALSE)-VLOOKUP(B20,BS!$A:$S,$C$1+4,FALSE)</f>
        <v>0</v>
      </c>
      <c r="E20" s="17">
        <f>VLOOKUP(B20,BS!$A:$S,18,FALSE)-VLOOKUP(B20,BS!$A:$S,$C$1+5,FALSE)</f>
        <v>0</v>
      </c>
      <c r="F20" s="17">
        <f>VLOOKUP(B20,BS!$A:$S,18,FALSE)</f>
        <v>0</v>
      </c>
      <c r="G20" s="18">
        <f t="shared" si="0"/>
        <v>0</v>
      </c>
      <c r="H20" s="19">
        <f t="shared" si="1"/>
        <v>0</v>
      </c>
      <c r="I20" s="18">
        <f t="shared" si="2"/>
        <v>0</v>
      </c>
      <c r="J20" s="19">
        <f t="shared" si="3"/>
        <v>0</v>
      </c>
      <c r="L20" s="6" t="s">
        <v>452</v>
      </c>
      <c r="M20" s="20" t="s">
        <v>453</v>
      </c>
      <c r="N20" s="17">
        <f>VLOOKUP(L20,PL!$A:$S,$C$1+3,FALSE)</f>
        <v>0</v>
      </c>
      <c r="O20" s="17">
        <f>VLOOKUP(L20,PL!$A:$S,$C$1+4,FALSE)</f>
        <v>0</v>
      </c>
      <c r="P20" s="17">
        <f>VLOOKUP(L20,PL!$A:$S,$C$1+5,FALSE)</f>
        <v>0</v>
      </c>
      <c r="Q20" s="18">
        <f t="shared" si="4"/>
        <v>0</v>
      </c>
      <c r="R20" s="19">
        <f t="shared" si="5"/>
        <v>0</v>
      </c>
      <c r="S20" s="18">
        <f t="shared" si="6"/>
        <v>0</v>
      </c>
      <c r="T20" s="19">
        <f t="shared" si="7"/>
        <v>0</v>
      </c>
      <c r="V20" s="35">
        <f>N76</f>
        <v>217492133.93000001</v>
      </c>
      <c r="W20" s="35">
        <f>O76</f>
        <v>5082873.01</v>
      </c>
      <c r="X20" s="35">
        <f>P76</f>
        <v>-211468936.63</v>
      </c>
    </row>
    <row r="21" spans="2:24" x14ac:dyDescent="0.4">
      <c r="B21" s="6" t="s">
        <v>54</v>
      </c>
      <c r="C21" s="20" t="s">
        <v>55</v>
      </c>
      <c r="D21" s="17">
        <f>VLOOKUP(B21,BS!$A:$S,18,FALSE)-VLOOKUP(B21,BS!$A:$S,$C$1+5,FALSE)-VLOOKUP(B21,BS!$A:$S,$C$1+4,FALSE)</f>
        <v>0</v>
      </c>
      <c r="E21" s="17">
        <f>VLOOKUP(B21,BS!$A:$S,18,FALSE)-VLOOKUP(B21,BS!$A:$S,$C$1+5,FALSE)</f>
        <v>0</v>
      </c>
      <c r="F21" s="17">
        <f>VLOOKUP(B21,BS!$A:$S,18,FALSE)</f>
        <v>0</v>
      </c>
      <c r="G21" s="18">
        <f t="shared" si="0"/>
        <v>0</v>
      </c>
      <c r="H21" s="19">
        <f t="shared" si="1"/>
        <v>0</v>
      </c>
      <c r="I21" s="18">
        <f t="shared" si="2"/>
        <v>0</v>
      </c>
      <c r="J21" s="19">
        <f t="shared" si="3"/>
        <v>0</v>
      </c>
      <c r="L21" s="15" t="s">
        <v>454</v>
      </c>
      <c r="M21" s="16" t="s">
        <v>455</v>
      </c>
      <c r="N21" s="17">
        <f>VLOOKUP(L21,PL!$A:$S,$C$1+3,FALSE)</f>
        <v>4568657006</v>
      </c>
      <c r="O21" s="17">
        <f>VLOOKUP(L21,PL!$A:$S,$C$1+4,FALSE)</f>
        <v>3487231197</v>
      </c>
      <c r="P21" s="17">
        <f>VLOOKUP(L21,PL!$A:$S,$C$1+5,FALSE)</f>
        <v>3041705372</v>
      </c>
      <c r="Q21" s="18">
        <f t="shared" si="4"/>
        <v>-1081425809</v>
      </c>
      <c r="R21" s="19">
        <f t="shared" si="5"/>
        <v>-0.2367054054571765</v>
      </c>
      <c r="S21" s="18">
        <f t="shared" si="6"/>
        <v>-445525825</v>
      </c>
      <c r="T21" s="19">
        <f t="shared" si="7"/>
        <v>-0.12775918768542721</v>
      </c>
    </row>
    <row r="22" spans="2:24" x14ac:dyDescent="0.4">
      <c r="B22" s="6" t="s">
        <v>56</v>
      </c>
      <c r="C22" s="20" t="s">
        <v>57</v>
      </c>
      <c r="D22" s="17">
        <f>VLOOKUP(B22,BS!$A:$S,18,FALSE)-VLOOKUP(B22,BS!$A:$S,$C$1+5,FALSE)-VLOOKUP(B22,BS!$A:$S,$C$1+4,FALSE)</f>
        <v>0</v>
      </c>
      <c r="E22" s="17">
        <f>VLOOKUP(B22,BS!$A:$S,18,FALSE)-VLOOKUP(B22,BS!$A:$S,$C$1+5,FALSE)</f>
        <v>0</v>
      </c>
      <c r="F22" s="17">
        <f>VLOOKUP(B22,BS!$A:$S,18,FALSE)</f>
        <v>0</v>
      </c>
      <c r="G22" s="18">
        <f t="shared" si="0"/>
        <v>0</v>
      </c>
      <c r="H22" s="19">
        <f t="shared" si="1"/>
        <v>0</v>
      </c>
      <c r="I22" s="18">
        <f t="shared" si="2"/>
        <v>0</v>
      </c>
      <c r="J22" s="19">
        <f t="shared" si="3"/>
        <v>0</v>
      </c>
      <c r="L22" s="15" t="s">
        <v>456</v>
      </c>
      <c r="M22" s="16" t="s">
        <v>457</v>
      </c>
      <c r="N22" s="17">
        <f>VLOOKUP(L22,PL!$A:$S,$C$1+3,FALSE)</f>
        <v>4568657006</v>
      </c>
      <c r="O22" s="17">
        <f>VLOOKUP(L22,PL!$A:$S,$C$1+4,FALSE)</f>
        <v>3487231197</v>
      </c>
      <c r="P22" s="17">
        <f>VLOOKUP(L22,PL!$A:$S,$C$1+5,FALSE)</f>
        <v>3041705372</v>
      </c>
      <c r="Q22" s="18">
        <f t="shared" si="4"/>
        <v>-1081425809</v>
      </c>
      <c r="R22" s="19">
        <f t="shared" si="5"/>
        <v>-0.2367054054571765</v>
      </c>
      <c r="S22" s="18">
        <f t="shared" si="6"/>
        <v>-445525825</v>
      </c>
      <c r="T22" s="19">
        <f t="shared" si="7"/>
        <v>-0.12775918768542721</v>
      </c>
    </row>
    <row r="23" spans="2:24" x14ac:dyDescent="0.4">
      <c r="B23" s="6" t="s">
        <v>58</v>
      </c>
      <c r="C23" s="20" t="s">
        <v>59</v>
      </c>
      <c r="D23" s="17">
        <f>VLOOKUP(B23,BS!$A:$S,18,FALSE)-VLOOKUP(B23,BS!$A:$S,$C$1+5,FALSE)-VLOOKUP(B23,BS!$A:$S,$C$1+4,FALSE)</f>
        <v>245555710.29999995</v>
      </c>
      <c r="E23" s="17">
        <f>VLOOKUP(B23,BS!$A:$S,18,FALSE)-VLOOKUP(B23,BS!$A:$S,$C$1+5,FALSE)</f>
        <v>270141536.53999996</v>
      </c>
      <c r="F23" s="17">
        <f>VLOOKUP(B23,BS!$A:$S,18,FALSE)</f>
        <v>229378391.34999999</v>
      </c>
      <c r="G23" s="18">
        <f t="shared" si="0"/>
        <v>24585826.24000001</v>
      </c>
      <c r="H23" s="19">
        <f t="shared" si="1"/>
        <v>0.10012321118479815</v>
      </c>
      <c r="I23" s="18">
        <f t="shared" si="2"/>
        <v>-40763145.189999968</v>
      </c>
      <c r="J23" s="19">
        <f t="shared" si="3"/>
        <v>-0.15089551096842951</v>
      </c>
      <c r="L23" s="6" t="s">
        <v>458</v>
      </c>
      <c r="M23" s="20" t="s">
        <v>459</v>
      </c>
      <c r="N23" s="17">
        <f>VLOOKUP(L23,PL!$A:$S,$C$1+3,FALSE)</f>
        <v>236595750</v>
      </c>
      <c r="O23" s="17">
        <f>VLOOKUP(L23,PL!$A:$S,$C$1+4,FALSE)</f>
        <v>230191904</v>
      </c>
      <c r="P23" s="17">
        <f>VLOOKUP(L23,PL!$A:$S,$C$1+5,FALSE)</f>
        <v>385936234</v>
      </c>
      <c r="Q23" s="18">
        <f t="shared" si="4"/>
        <v>-6403846</v>
      </c>
      <c r="R23" s="19">
        <f t="shared" si="5"/>
        <v>-2.7066614679257764E-2</v>
      </c>
      <c r="S23" s="18">
        <f t="shared" si="6"/>
        <v>155744330</v>
      </c>
      <c r="T23" s="19">
        <f t="shared" si="7"/>
        <v>0.67658474209414421</v>
      </c>
      <c r="V23" s="45" t="s">
        <v>717</v>
      </c>
      <c r="W23" s="45"/>
      <c r="X23" s="45"/>
    </row>
    <row r="24" spans="2:24" x14ac:dyDescent="0.4">
      <c r="B24" s="6" t="s">
        <v>60</v>
      </c>
      <c r="C24" s="20" t="s">
        <v>61</v>
      </c>
      <c r="D24" s="17">
        <f>VLOOKUP(B24,BS!$A:$S,18,FALSE)-VLOOKUP(B24,BS!$A:$S,$C$1+5,FALSE)-VLOOKUP(B24,BS!$A:$S,$C$1+4,FALSE)</f>
        <v>0</v>
      </c>
      <c r="E24" s="17">
        <f>VLOOKUP(B24,BS!$A:$S,18,FALSE)-VLOOKUP(B24,BS!$A:$S,$C$1+5,FALSE)</f>
        <v>0</v>
      </c>
      <c r="F24" s="17">
        <f>VLOOKUP(B24,BS!$A:$S,18,FALSE)</f>
        <v>0</v>
      </c>
      <c r="G24" s="18">
        <f t="shared" si="0"/>
        <v>0</v>
      </c>
      <c r="H24" s="19">
        <f t="shared" si="1"/>
        <v>0</v>
      </c>
      <c r="I24" s="18">
        <f t="shared" si="2"/>
        <v>0</v>
      </c>
      <c r="J24" s="19">
        <f t="shared" si="3"/>
        <v>0</v>
      </c>
      <c r="L24" s="6" t="s">
        <v>460</v>
      </c>
      <c r="M24" s="20" t="s">
        <v>461</v>
      </c>
      <c r="N24" s="17">
        <f>VLOOKUP(L24,PL!$A:$S,$C$1+3,FALSE)</f>
        <v>4354008914</v>
      </c>
      <c r="O24" s="17">
        <f>VLOOKUP(L24,PL!$A:$S,$C$1+4,FALSE)</f>
        <v>3221657226</v>
      </c>
      <c r="P24" s="17">
        <f>VLOOKUP(L24,PL!$A:$S,$C$1+5,FALSE)</f>
        <v>2639900203</v>
      </c>
      <c r="Q24" s="18">
        <f t="shared" si="4"/>
        <v>-1132351688</v>
      </c>
      <c r="R24" s="19">
        <f t="shared" si="5"/>
        <v>-0.26007105414024423</v>
      </c>
      <c r="S24" s="18">
        <f t="shared" si="6"/>
        <v>-581757023</v>
      </c>
      <c r="T24" s="19">
        <f t="shared" si="7"/>
        <v>-0.18057694602175534</v>
      </c>
      <c r="V24" s="26" t="s">
        <v>704</v>
      </c>
      <c r="W24" s="26" t="s">
        <v>702</v>
      </c>
      <c r="X24" s="26" t="s">
        <v>703</v>
      </c>
    </row>
    <row r="25" spans="2:24" x14ac:dyDescent="0.4">
      <c r="B25" s="6" t="s">
        <v>62</v>
      </c>
      <c r="C25" s="20" t="s">
        <v>63</v>
      </c>
      <c r="D25" s="17">
        <f>VLOOKUP(B25,BS!$A:$S,18,FALSE)-VLOOKUP(B25,BS!$A:$S,$C$1+5,FALSE)-VLOOKUP(B25,BS!$A:$S,$C$1+4,FALSE)</f>
        <v>0</v>
      </c>
      <c r="E25" s="17">
        <f>VLOOKUP(B25,BS!$A:$S,18,FALSE)-VLOOKUP(B25,BS!$A:$S,$C$1+5,FALSE)</f>
        <v>0</v>
      </c>
      <c r="F25" s="17">
        <f>VLOOKUP(B25,BS!$A:$S,18,FALSE)</f>
        <v>0</v>
      </c>
      <c r="G25" s="18">
        <f t="shared" si="0"/>
        <v>0</v>
      </c>
      <c r="H25" s="19">
        <f t="shared" si="1"/>
        <v>0</v>
      </c>
      <c r="I25" s="18">
        <f t="shared" si="2"/>
        <v>0</v>
      </c>
      <c r="J25" s="19">
        <f t="shared" si="3"/>
        <v>0</v>
      </c>
      <c r="L25" s="6" t="s">
        <v>462</v>
      </c>
      <c r="M25" s="20" t="s">
        <v>463</v>
      </c>
      <c r="N25" s="17">
        <f>VLOOKUP(L25,PL!$A:$S,$C$1+3,FALSE)</f>
        <v>-22413262</v>
      </c>
      <c r="O25" s="17">
        <f>VLOOKUP(L25,PL!$A:$S,$C$1+4,FALSE)</f>
        <v>34886466</v>
      </c>
      <c r="P25" s="17">
        <f>VLOOKUP(L25,PL!$A:$S,$C$1+5,FALSE)</f>
        <v>16770483</v>
      </c>
      <c r="Q25" s="18">
        <f t="shared" si="4"/>
        <v>57299728</v>
      </c>
      <c r="R25" s="19">
        <f t="shared" si="5"/>
        <v>-2.5565099805641855</v>
      </c>
      <c r="S25" s="18">
        <f t="shared" si="6"/>
        <v>-18115983</v>
      </c>
      <c r="T25" s="19">
        <f t="shared" si="7"/>
        <v>-0.51928398250484875</v>
      </c>
      <c r="V25" s="27">
        <f>N39/N4</f>
        <v>0.26551604109103183</v>
      </c>
      <c r="W25" s="27">
        <f>O39/O4</f>
        <v>0.34917628296685865</v>
      </c>
      <c r="X25" s="27">
        <f>P39/P4</f>
        <v>0.37815430597827404</v>
      </c>
    </row>
    <row r="26" spans="2:24" x14ac:dyDescent="0.4">
      <c r="B26" s="6" t="s">
        <v>64</v>
      </c>
      <c r="C26" s="20" t="s">
        <v>65</v>
      </c>
      <c r="D26" s="17">
        <f>VLOOKUP(B26,BS!$A:$S,18,FALSE)-VLOOKUP(B26,BS!$A:$S,$C$1+5,FALSE)-VLOOKUP(B26,BS!$A:$S,$C$1+4,FALSE)</f>
        <v>699993667.11000001</v>
      </c>
      <c r="E26" s="17">
        <f>VLOOKUP(B26,BS!$A:$S,18,FALSE)-VLOOKUP(B26,BS!$A:$S,$C$1+5,FALSE)</f>
        <v>665315162.62</v>
      </c>
      <c r="F26" s="17">
        <f>VLOOKUP(B26,BS!$A:$S,18,FALSE)</f>
        <v>665315162.62</v>
      </c>
      <c r="G26" s="18">
        <f t="shared" si="0"/>
        <v>-34678504.49000001</v>
      </c>
      <c r="H26" s="19">
        <f t="shared" si="1"/>
        <v>-4.9541168898247306E-2</v>
      </c>
      <c r="I26" s="18">
        <f t="shared" si="2"/>
        <v>0</v>
      </c>
      <c r="J26" s="19">
        <f t="shared" si="3"/>
        <v>0</v>
      </c>
      <c r="L26" s="6" t="s">
        <v>464</v>
      </c>
      <c r="M26" s="20" t="s">
        <v>465</v>
      </c>
      <c r="N26" s="17">
        <f>VLOOKUP(L26,PL!$A:$S,$C$1+3,FALSE)</f>
        <v>0</v>
      </c>
      <c r="O26" s="17">
        <f>VLOOKUP(L26,PL!$A:$S,$C$1+4,FALSE)</f>
        <v>379200</v>
      </c>
      <c r="P26" s="17">
        <f>VLOOKUP(L26,PL!$A:$S,$C$1+5,FALSE)</f>
        <v>-379200</v>
      </c>
      <c r="Q26" s="18">
        <f t="shared" si="4"/>
        <v>379200</v>
      </c>
      <c r="R26" s="19">
        <f t="shared" si="5"/>
        <v>0</v>
      </c>
      <c r="S26" s="18">
        <f t="shared" si="6"/>
        <v>-758400</v>
      </c>
      <c r="T26" s="19">
        <f t="shared" si="7"/>
        <v>-2</v>
      </c>
    </row>
    <row r="27" spans="2:24" x14ac:dyDescent="0.4">
      <c r="B27" s="6" t="s">
        <v>66</v>
      </c>
      <c r="C27" s="20" t="s">
        <v>67</v>
      </c>
      <c r="D27" s="17">
        <f>VLOOKUP(B27,BS!$A:$S,18,FALSE)-VLOOKUP(B27,BS!$A:$S,$C$1+5,FALSE)-VLOOKUP(B27,BS!$A:$S,$C$1+4,FALSE)</f>
        <v>363067250.21999997</v>
      </c>
      <c r="E27" s="17">
        <f>VLOOKUP(B27,BS!$A:$S,18,FALSE)-VLOOKUP(B27,BS!$A:$S,$C$1+5,FALSE)</f>
        <v>592525095.01999998</v>
      </c>
      <c r="F27" s="17">
        <f>VLOOKUP(B27,BS!$A:$S,18,FALSE)</f>
        <v>578565044.98000002</v>
      </c>
      <c r="G27" s="18">
        <f t="shared" si="0"/>
        <v>229457844.80000001</v>
      </c>
      <c r="H27" s="19">
        <f t="shared" si="1"/>
        <v>0.6319981894840706</v>
      </c>
      <c r="I27" s="18">
        <f t="shared" si="2"/>
        <v>-13960050.039999962</v>
      </c>
      <c r="J27" s="19">
        <f t="shared" si="3"/>
        <v>-2.3560268007768947E-2</v>
      </c>
      <c r="L27" s="6" t="s">
        <v>466</v>
      </c>
      <c r="M27" s="20" t="s">
        <v>467</v>
      </c>
      <c r="N27" s="17">
        <f>VLOOKUP(L27,PL!$A:$S,$C$1+3,FALSE)</f>
        <v>465604</v>
      </c>
      <c r="O27" s="17">
        <f>VLOOKUP(L27,PL!$A:$S,$C$1+4,FALSE)</f>
        <v>116401</v>
      </c>
      <c r="P27" s="17">
        <f>VLOOKUP(L27,PL!$A:$S,$C$1+5,FALSE)</f>
        <v>-522348</v>
      </c>
      <c r="Q27" s="18">
        <f t="shared" si="4"/>
        <v>-349203</v>
      </c>
      <c r="R27" s="19">
        <f t="shared" si="5"/>
        <v>-0.75</v>
      </c>
      <c r="S27" s="18">
        <f t="shared" si="6"/>
        <v>-638749</v>
      </c>
      <c r="T27" s="19">
        <f t="shared" si="7"/>
        <v>-5.4874872209001637</v>
      </c>
      <c r="V27" s="9" t="s">
        <v>718</v>
      </c>
    </row>
    <row r="28" spans="2:24" x14ac:dyDescent="0.4">
      <c r="B28" s="6" t="s">
        <v>68</v>
      </c>
      <c r="C28" s="20" t="s">
        <v>69</v>
      </c>
      <c r="D28" s="17">
        <f>VLOOKUP(B28,BS!$A:$S,18,FALSE)-VLOOKUP(B28,BS!$A:$S,$C$1+5,FALSE)-VLOOKUP(B28,BS!$A:$S,$C$1+4,FALSE)</f>
        <v>0</v>
      </c>
      <c r="E28" s="17">
        <f>VLOOKUP(B28,BS!$A:$S,18,FALSE)-VLOOKUP(B28,BS!$A:$S,$C$1+5,FALSE)</f>
        <v>0</v>
      </c>
      <c r="F28" s="17">
        <f>VLOOKUP(B28,BS!$A:$S,18,FALSE)</f>
        <v>0</v>
      </c>
      <c r="G28" s="18">
        <f t="shared" si="0"/>
        <v>0</v>
      </c>
      <c r="H28" s="19">
        <f t="shared" si="1"/>
        <v>0</v>
      </c>
      <c r="I28" s="18">
        <f t="shared" si="2"/>
        <v>0</v>
      </c>
      <c r="J28" s="19">
        <f t="shared" si="3"/>
        <v>0</v>
      </c>
      <c r="L28" s="6" t="s">
        <v>468</v>
      </c>
      <c r="M28" s="20" t="s">
        <v>469</v>
      </c>
      <c r="N28" s="17">
        <f>VLOOKUP(L28,PL!$A:$S,$C$1+3,FALSE)</f>
        <v>0</v>
      </c>
      <c r="O28" s="17">
        <f>VLOOKUP(L28,PL!$A:$S,$C$1+4,FALSE)</f>
        <v>0</v>
      </c>
      <c r="P28" s="17">
        <f>VLOOKUP(L28,PL!$A:$S,$C$1+5,FALSE)</f>
        <v>0</v>
      </c>
      <c r="Q28" s="18">
        <f t="shared" si="4"/>
        <v>0</v>
      </c>
      <c r="R28" s="19">
        <f t="shared" si="5"/>
        <v>0</v>
      </c>
      <c r="S28" s="18">
        <f t="shared" si="6"/>
        <v>0</v>
      </c>
      <c r="T28" s="19">
        <f t="shared" si="7"/>
        <v>0</v>
      </c>
      <c r="V28" s="28" t="s">
        <v>719</v>
      </c>
      <c r="W28" s="29">
        <f>T4</f>
        <v>-0.15181582867582485</v>
      </c>
    </row>
    <row r="29" spans="2:24" x14ac:dyDescent="0.4">
      <c r="B29" s="6" t="s">
        <v>70</v>
      </c>
      <c r="C29" s="20" t="s">
        <v>71</v>
      </c>
      <c r="D29" s="17">
        <f>VLOOKUP(B29,BS!$A:$S,18,FALSE)-VLOOKUP(B29,BS!$A:$S,$C$1+5,FALSE)-VLOOKUP(B29,BS!$A:$S,$C$1+4,FALSE)</f>
        <v>503158442</v>
      </c>
      <c r="E29" s="17">
        <f>VLOOKUP(B29,BS!$A:$S,18,FALSE)-VLOOKUP(B29,BS!$A:$S,$C$1+5,FALSE)</f>
        <v>635474325</v>
      </c>
      <c r="F29" s="17">
        <f>VLOOKUP(B29,BS!$A:$S,18,FALSE)</f>
        <v>538033863</v>
      </c>
      <c r="G29" s="18">
        <f t="shared" si="0"/>
        <v>132315883</v>
      </c>
      <c r="H29" s="19">
        <f t="shared" si="1"/>
        <v>0.2629706111539315</v>
      </c>
      <c r="I29" s="18">
        <f t="shared" si="2"/>
        <v>-97440462</v>
      </c>
      <c r="J29" s="19">
        <f t="shared" si="3"/>
        <v>-0.15333501003364691</v>
      </c>
      <c r="L29" s="6" t="s">
        <v>470</v>
      </c>
      <c r="M29" s="20" t="s">
        <v>471</v>
      </c>
      <c r="N29" s="17">
        <f>VLOOKUP(L29,PL!$A:$S,$C$1+3,FALSE)</f>
        <v>0</v>
      </c>
      <c r="O29" s="17">
        <f>VLOOKUP(L29,PL!$A:$S,$C$1+4,FALSE)</f>
        <v>0</v>
      </c>
      <c r="P29" s="17">
        <f>VLOOKUP(L29,PL!$A:$S,$C$1+5,FALSE)</f>
        <v>0</v>
      </c>
      <c r="Q29" s="18">
        <f t="shared" si="4"/>
        <v>0</v>
      </c>
      <c r="R29" s="19">
        <f t="shared" si="5"/>
        <v>0</v>
      </c>
      <c r="S29" s="18">
        <f t="shared" si="6"/>
        <v>0</v>
      </c>
      <c r="T29" s="19">
        <f t="shared" si="7"/>
        <v>0</v>
      </c>
      <c r="V29" s="28" t="s">
        <v>720</v>
      </c>
      <c r="W29" s="29">
        <f>T21</f>
        <v>-0.12775918768542721</v>
      </c>
    </row>
    <row r="30" spans="2:24" x14ac:dyDescent="0.4">
      <c r="B30" s="6" t="s">
        <v>72</v>
      </c>
      <c r="C30" s="20" t="s">
        <v>73</v>
      </c>
      <c r="D30" s="17">
        <f>VLOOKUP(B30,BS!$A:$S,18,FALSE)-VLOOKUP(B30,BS!$A:$S,$C$1+5,FALSE)-VLOOKUP(B30,BS!$A:$S,$C$1+4,FALSE)</f>
        <v>400247849</v>
      </c>
      <c r="E30" s="17">
        <f>VLOOKUP(B30,BS!$A:$S,18,FALSE)-VLOOKUP(B30,BS!$A:$S,$C$1+5,FALSE)</f>
        <v>393566415</v>
      </c>
      <c r="F30" s="17">
        <f>VLOOKUP(B30,BS!$A:$S,18,FALSE)</f>
        <v>408418438</v>
      </c>
      <c r="G30" s="18">
        <f t="shared" si="0"/>
        <v>-6681434</v>
      </c>
      <c r="H30" s="19">
        <f t="shared" si="1"/>
        <v>-1.669324149197364E-2</v>
      </c>
      <c r="I30" s="18">
        <f t="shared" si="2"/>
        <v>14852023</v>
      </c>
      <c r="J30" s="19">
        <f t="shared" si="3"/>
        <v>3.7737018286989756E-2</v>
      </c>
      <c r="L30" s="6" t="s">
        <v>472</v>
      </c>
      <c r="M30" s="20" t="s">
        <v>473</v>
      </c>
      <c r="N30" s="17">
        <f>VLOOKUP(L30,PL!$A:$S,$C$1+3,FALSE)</f>
        <v>0</v>
      </c>
      <c r="O30" s="17">
        <f>VLOOKUP(L30,PL!$A:$S,$C$1+4,FALSE)</f>
        <v>0</v>
      </c>
      <c r="P30" s="17">
        <f>VLOOKUP(L30,PL!$A:$S,$C$1+5,FALSE)</f>
        <v>0</v>
      </c>
      <c r="Q30" s="18">
        <f t="shared" si="4"/>
        <v>0</v>
      </c>
      <c r="R30" s="19">
        <f t="shared" si="5"/>
        <v>0</v>
      </c>
      <c r="S30" s="18">
        <f t="shared" si="6"/>
        <v>0</v>
      </c>
      <c r="T30" s="19">
        <f t="shared" si="7"/>
        <v>0</v>
      </c>
      <c r="V30" s="28" t="s">
        <v>721</v>
      </c>
      <c r="W30" s="29">
        <f>T39</f>
        <v>-8.1425307802781871E-2</v>
      </c>
    </row>
    <row r="31" spans="2:24" x14ac:dyDescent="0.4">
      <c r="B31" s="6" t="s">
        <v>74</v>
      </c>
      <c r="C31" s="20" t="s">
        <v>75</v>
      </c>
      <c r="D31" s="17">
        <f>VLOOKUP(B31,BS!$A:$S,18,FALSE)-VLOOKUP(B31,BS!$A:$S,$C$1+5,FALSE)-VLOOKUP(B31,BS!$A:$S,$C$1+4,FALSE)</f>
        <v>0</v>
      </c>
      <c r="E31" s="17">
        <f>VLOOKUP(B31,BS!$A:$S,18,FALSE)-VLOOKUP(B31,BS!$A:$S,$C$1+5,FALSE)</f>
        <v>0</v>
      </c>
      <c r="F31" s="17">
        <f>VLOOKUP(B31,BS!$A:$S,18,FALSE)</f>
        <v>0</v>
      </c>
      <c r="G31" s="18">
        <f t="shared" si="0"/>
        <v>0</v>
      </c>
      <c r="H31" s="19">
        <f t="shared" si="1"/>
        <v>0</v>
      </c>
      <c r="I31" s="18">
        <f t="shared" si="2"/>
        <v>0</v>
      </c>
      <c r="J31" s="19">
        <f t="shared" si="3"/>
        <v>0</v>
      </c>
      <c r="L31" s="6" t="s">
        <v>474</v>
      </c>
      <c r="M31" s="20" t="s">
        <v>475</v>
      </c>
      <c r="N31" s="17">
        <f>VLOOKUP(L31,PL!$A:$S,$C$1+3,FALSE)</f>
        <v>0</v>
      </c>
      <c r="O31" s="17">
        <f>VLOOKUP(L31,PL!$A:$S,$C$1+4,FALSE)</f>
        <v>0</v>
      </c>
      <c r="P31" s="17">
        <f>VLOOKUP(L31,PL!$A:$S,$C$1+5,FALSE)</f>
        <v>0</v>
      </c>
      <c r="Q31" s="18">
        <f t="shared" si="4"/>
        <v>0</v>
      </c>
      <c r="R31" s="19">
        <f t="shared" si="5"/>
        <v>0</v>
      </c>
      <c r="S31" s="18">
        <f t="shared" si="6"/>
        <v>0</v>
      </c>
      <c r="T31" s="19">
        <f t="shared" si="7"/>
        <v>0</v>
      </c>
      <c r="V31" s="28" t="s">
        <v>722</v>
      </c>
      <c r="W31" s="29">
        <f>T76</f>
        <v>-42.604214036816941</v>
      </c>
    </row>
    <row r="32" spans="2:24" x14ac:dyDescent="0.4">
      <c r="B32" s="6" t="s">
        <v>76</v>
      </c>
      <c r="C32" s="20" t="s">
        <v>77</v>
      </c>
      <c r="D32" s="17">
        <f>VLOOKUP(B32,BS!$A:$S,18,FALSE)-VLOOKUP(B32,BS!$A:$S,$C$1+5,FALSE)-VLOOKUP(B32,BS!$A:$S,$C$1+4,FALSE)</f>
        <v>0</v>
      </c>
      <c r="E32" s="17">
        <f>VLOOKUP(B32,BS!$A:$S,18,FALSE)-VLOOKUP(B32,BS!$A:$S,$C$1+5,FALSE)</f>
        <v>0</v>
      </c>
      <c r="F32" s="17">
        <f>VLOOKUP(B32,BS!$A:$S,18,FALSE)</f>
        <v>0</v>
      </c>
      <c r="G32" s="18">
        <f t="shared" si="0"/>
        <v>0</v>
      </c>
      <c r="H32" s="19">
        <f t="shared" si="1"/>
        <v>0</v>
      </c>
      <c r="I32" s="18">
        <f t="shared" si="2"/>
        <v>0</v>
      </c>
      <c r="J32" s="19">
        <f t="shared" si="3"/>
        <v>0</v>
      </c>
      <c r="L32" s="6" t="s">
        <v>476</v>
      </c>
      <c r="M32" s="20" t="s">
        <v>477</v>
      </c>
      <c r="N32" s="17">
        <f>VLOOKUP(L32,PL!$A:$S,$C$1+3,FALSE)</f>
        <v>0</v>
      </c>
      <c r="O32" s="17">
        <f>VLOOKUP(L32,PL!$A:$S,$C$1+4,FALSE)</f>
        <v>0</v>
      </c>
      <c r="P32" s="17">
        <f>VLOOKUP(L32,PL!$A:$S,$C$1+5,FALSE)</f>
        <v>0</v>
      </c>
      <c r="Q32" s="18">
        <f t="shared" si="4"/>
        <v>0</v>
      </c>
      <c r="R32" s="19">
        <f t="shared" si="5"/>
        <v>0</v>
      </c>
      <c r="S32" s="18">
        <f t="shared" si="6"/>
        <v>0</v>
      </c>
      <c r="T32" s="19">
        <f t="shared" si="7"/>
        <v>0</v>
      </c>
    </row>
    <row r="33" spans="2:21" x14ac:dyDescent="0.4">
      <c r="B33" s="15" t="s">
        <v>78</v>
      </c>
      <c r="C33" s="16" t="s">
        <v>79</v>
      </c>
      <c r="D33" s="17">
        <f>VLOOKUP(B33,BS!$A:$S,18,FALSE)-VLOOKUP(B33,BS!$A:$S,$C$1+5,FALSE)-VLOOKUP(B33,BS!$A:$S,$C$1+4,FALSE)</f>
        <v>24104829394.789997</v>
      </c>
      <c r="E33" s="17">
        <f>VLOOKUP(B33,BS!$A:$S,18,FALSE)-VLOOKUP(B33,BS!$A:$S,$C$1+5,FALSE)</f>
        <v>25176993193.919998</v>
      </c>
      <c r="F33" s="17">
        <f>VLOOKUP(B33,BS!$A:$S,18,FALSE)</f>
        <v>24990231714.07</v>
      </c>
      <c r="G33" s="18">
        <f t="shared" si="0"/>
        <v>1072163799.1300011</v>
      </c>
      <c r="H33" s="19">
        <f t="shared" si="1"/>
        <v>4.4479211263853125E-2</v>
      </c>
      <c r="I33" s="18">
        <f t="shared" si="2"/>
        <v>-186761479.84999847</v>
      </c>
      <c r="J33" s="19">
        <f t="shared" si="3"/>
        <v>-7.4179421828298219E-3</v>
      </c>
      <c r="L33" s="6" t="s">
        <v>478</v>
      </c>
      <c r="M33" s="20" t="s">
        <v>479</v>
      </c>
      <c r="N33" s="17">
        <f>VLOOKUP(L33,PL!$A:$S,$C$1+3,FALSE)</f>
        <v>0</v>
      </c>
      <c r="O33" s="17">
        <f>VLOOKUP(L33,PL!$A:$S,$C$1+4,FALSE)</f>
        <v>0</v>
      </c>
      <c r="P33" s="17">
        <f>VLOOKUP(L33,PL!$A:$S,$C$1+5,FALSE)</f>
        <v>0</v>
      </c>
      <c r="Q33" s="18">
        <f t="shared" si="4"/>
        <v>0</v>
      </c>
      <c r="R33" s="19">
        <f t="shared" si="5"/>
        <v>0</v>
      </c>
      <c r="S33" s="18">
        <f t="shared" si="6"/>
        <v>0</v>
      </c>
      <c r="T33" s="19">
        <f t="shared" si="7"/>
        <v>0</v>
      </c>
    </row>
    <row r="34" spans="2:21" x14ac:dyDescent="0.4">
      <c r="B34" s="15" t="s">
        <v>80</v>
      </c>
      <c r="C34" s="16" t="s">
        <v>81</v>
      </c>
      <c r="D34" s="17">
        <f>VLOOKUP(B34,BS!$A:$S,18,FALSE)-VLOOKUP(B34,BS!$A:$S,$C$1+5,FALSE)-VLOOKUP(B34,BS!$A:$S,$C$1+4,FALSE)</f>
        <v>25951909759</v>
      </c>
      <c r="E34" s="17">
        <f>VLOOKUP(B34,BS!$A:$S,18,FALSE)-VLOOKUP(B34,BS!$A:$S,$C$1+5,FALSE)</f>
        <v>27034421843</v>
      </c>
      <c r="F34" s="17">
        <f>VLOOKUP(B34,BS!$A:$S,18,FALSE)</f>
        <v>27621801653</v>
      </c>
      <c r="G34" s="18">
        <f t="shared" si="0"/>
        <v>1082512084</v>
      </c>
      <c r="H34" s="19">
        <f t="shared" si="1"/>
        <v>4.1712232126754754E-2</v>
      </c>
      <c r="I34" s="18">
        <f t="shared" si="2"/>
        <v>587379810</v>
      </c>
      <c r="J34" s="19">
        <f t="shared" si="3"/>
        <v>2.1727108255214629E-2</v>
      </c>
      <c r="L34" s="6" t="s">
        <v>480</v>
      </c>
      <c r="M34" s="20" t="s">
        <v>481</v>
      </c>
      <c r="N34" s="17">
        <f>VLOOKUP(L34,PL!$A:$S,$C$1+3,FALSE)</f>
        <v>0</v>
      </c>
      <c r="O34" s="17">
        <f>VLOOKUP(L34,PL!$A:$S,$C$1+4,FALSE)</f>
        <v>0</v>
      </c>
      <c r="P34" s="17">
        <f>VLOOKUP(L34,PL!$A:$S,$C$1+5,FALSE)</f>
        <v>0</v>
      </c>
      <c r="Q34" s="18">
        <f t="shared" si="4"/>
        <v>0</v>
      </c>
      <c r="R34" s="19">
        <f t="shared" si="5"/>
        <v>0</v>
      </c>
      <c r="S34" s="18">
        <f t="shared" si="6"/>
        <v>0</v>
      </c>
      <c r="T34" s="19">
        <f t="shared" si="7"/>
        <v>0</v>
      </c>
    </row>
    <row r="35" spans="2:21" x14ac:dyDescent="0.4">
      <c r="B35" s="6" t="s">
        <v>82</v>
      </c>
      <c r="C35" s="20" t="s">
        <v>83</v>
      </c>
      <c r="D35" s="17">
        <f>VLOOKUP(B35,BS!$A:$S,18,FALSE)-VLOOKUP(B35,BS!$A:$S,$C$1+5,FALSE)-VLOOKUP(B35,BS!$A:$S,$C$1+4,FALSE)</f>
        <v>4171007649</v>
      </c>
      <c r="E35" s="17">
        <f>VLOOKUP(B35,BS!$A:$S,18,FALSE)-VLOOKUP(B35,BS!$A:$S,$C$1+5,FALSE)</f>
        <v>4010080698</v>
      </c>
      <c r="F35" s="17">
        <f>VLOOKUP(B35,BS!$A:$S,18,FALSE)</f>
        <v>3539255176</v>
      </c>
      <c r="G35" s="18">
        <f t="shared" si="0"/>
        <v>-160926951</v>
      </c>
      <c r="H35" s="19">
        <f t="shared" si="1"/>
        <v>-3.8582271849485164E-2</v>
      </c>
      <c r="I35" s="18">
        <f t="shared" si="2"/>
        <v>-470825522</v>
      </c>
      <c r="J35" s="19">
        <f t="shared" si="3"/>
        <v>-0.11741048558818803</v>
      </c>
      <c r="L35" s="6" t="s">
        <v>482</v>
      </c>
      <c r="M35" s="20" t="s">
        <v>483</v>
      </c>
      <c r="N35" s="17">
        <f>VLOOKUP(L35,PL!$A:$S,$C$1+3,FALSE)</f>
        <v>0</v>
      </c>
      <c r="O35" s="17">
        <f>VLOOKUP(L35,PL!$A:$S,$C$1+4,FALSE)</f>
        <v>0</v>
      </c>
      <c r="P35" s="17">
        <f>VLOOKUP(L35,PL!$A:$S,$C$1+5,FALSE)</f>
        <v>0</v>
      </c>
      <c r="Q35" s="18">
        <f t="shared" si="4"/>
        <v>0</v>
      </c>
      <c r="R35" s="19">
        <f t="shared" si="5"/>
        <v>0</v>
      </c>
      <c r="S35" s="18">
        <f t="shared" si="6"/>
        <v>0</v>
      </c>
      <c r="T35" s="19">
        <f t="shared" si="7"/>
        <v>0</v>
      </c>
    </row>
    <row r="36" spans="2:21" x14ac:dyDescent="0.4">
      <c r="B36" s="6" t="s">
        <v>84</v>
      </c>
      <c r="C36" s="20" t="s">
        <v>85</v>
      </c>
      <c r="D36" s="17">
        <f>VLOOKUP(B36,BS!$A:$S,18,FALSE)-VLOOKUP(B36,BS!$A:$S,$C$1+5,FALSE)-VLOOKUP(B36,BS!$A:$S,$C$1+4,FALSE)</f>
        <v>20405685652</v>
      </c>
      <c r="E36" s="17">
        <f>VLOOKUP(B36,BS!$A:$S,18,FALSE)-VLOOKUP(B36,BS!$A:$S,$C$1+5,FALSE)</f>
        <v>21642823344</v>
      </c>
      <c r="F36" s="17">
        <f>VLOOKUP(B36,BS!$A:$S,18,FALSE)</f>
        <v>22703472537</v>
      </c>
      <c r="G36" s="18">
        <f t="shared" si="0"/>
        <v>1237137692</v>
      </c>
      <c r="H36" s="19">
        <f t="shared" si="1"/>
        <v>6.062710722385091E-2</v>
      </c>
      <c r="I36" s="18">
        <f t="shared" si="2"/>
        <v>1060649193</v>
      </c>
      <c r="J36" s="19">
        <f t="shared" si="3"/>
        <v>4.9006969938330244E-2</v>
      </c>
      <c r="L36" s="6" t="s">
        <v>739</v>
      </c>
      <c r="M36" s="20" t="s">
        <v>740</v>
      </c>
      <c r="N36" s="17">
        <f>VLOOKUP(L36,PL!$A:$S,$C$1+3,FALSE)</f>
        <v>0</v>
      </c>
      <c r="O36" s="17">
        <f>VLOOKUP(L36,PL!$A:$S,$C$1+4,FALSE)</f>
        <v>0</v>
      </c>
      <c r="P36" s="17">
        <f>VLOOKUP(L36,PL!$A:$S,$C$1+5,FALSE)</f>
        <v>0</v>
      </c>
      <c r="Q36" s="18">
        <f t="shared" ref="Q36" si="14">O36-N36</f>
        <v>0</v>
      </c>
      <c r="R36" s="19">
        <f t="shared" ref="R36" si="15">IFERROR(Q36/N36,0)</f>
        <v>0</v>
      </c>
      <c r="S36" s="18">
        <f t="shared" ref="S36" si="16">P36-O36</f>
        <v>0</v>
      </c>
      <c r="T36" s="19">
        <f t="shared" ref="T36" si="17">IFERROR(S36/O36,0)</f>
        <v>0</v>
      </c>
    </row>
    <row r="37" spans="2:21" x14ac:dyDescent="0.4">
      <c r="B37" s="6" t="s">
        <v>86</v>
      </c>
      <c r="C37" s="20" t="s">
        <v>87</v>
      </c>
      <c r="D37" s="17">
        <f>VLOOKUP(B37,BS!$A:$S,18,FALSE)-VLOOKUP(B37,BS!$A:$S,$C$1+5,FALSE)-VLOOKUP(B37,BS!$A:$S,$C$1+4,FALSE)</f>
        <v>1104317191</v>
      </c>
      <c r="E37" s="17">
        <f>VLOOKUP(B37,BS!$A:$S,18,FALSE)-VLOOKUP(B37,BS!$A:$S,$C$1+5,FALSE)</f>
        <v>1110734935</v>
      </c>
      <c r="F37" s="17">
        <f>VLOOKUP(B37,BS!$A:$S,18,FALSE)</f>
        <v>1107768726</v>
      </c>
      <c r="G37" s="18">
        <f t="shared" si="0"/>
        <v>6417744</v>
      </c>
      <c r="H37" s="19">
        <f t="shared" si="1"/>
        <v>5.8115042057694452E-3</v>
      </c>
      <c r="I37" s="18">
        <f t="shared" si="2"/>
        <v>-2966209</v>
      </c>
      <c r="J37" s="19">
        <f t="shared" si="3"/>
        <v>-2.6704922178395333E-3</v>
      </c>
      <c r="L37" s="6" t="s">
        <v>484</v>
      </c>
      <c r="M37" s="20" t="s">
        <v>485</v>
      </c>
      <c r="N37" s="17">
        <f>VLOOKUP(L37,PL!$A:$S,$C$1+3,FALSE)</f>
        <v>0</v>
      </c>
      <c r="O37" s="17">
        <f>VLOOKUP(L37,PL!$A:$S,$C$1+4,FALSE)</f>
        <v>0</v>
      </c>
      <c r="P37" s="17">
        <f>VLOOKUP(L37,PL!$A:$S,$C$1+5,FALSE)</f>
        <v>0</v>
      </c>
      <c r="Q37" s="18">
        <f t="shared" si="4"/>
        <v>0</v>
      </c>
      <c r="R37" s="19">
        <f t="shared" si="5"/>
        <v>0</v>
      </c>
      <c r="S37" s="18">
        <f t="shared" si="6"/>
        <v>0</v>
      </c>
      <c r="T37" s="19">
        <f t="shared" si="7"/>
        <v>0</v>
      </c>
    </row>
    <row r="38" spans="2:21" x14ac:dyDescent="0.4">
      <c r="B38" s="6" t="s">
        <v>88</v>
      </c>
      <c r="C38" s="20" t="s">
        <v>89</v>
      </c>
      <c r="D38" s="17">
        <f>VLOOKUP(B38,BS!$A:$S,18,FALSE)-VLOOKUP(B38,BS!$A:$S,$C$1+5,FALSE)-VLOOKUP(B38,BS!$A:$S,$C$1+4,FALSE)</f>
        <v>184620800</v>
      </c>
      <c r="E38" s="17">
        <f>VLOOKUP(B38,BS!$A:$S,18,FALSE)-VLOOKUP(B38,BS!$A:$S,$C$1+5,FALSE)</f>
        <v>184620800</v>
      </c>
      <c r="F38" s="17">
        <f>VLOOKUP(B38,BS!$A:$S,18,FALSE)</f>
        <v>184620800</v>
      </c>
      <c r="G38" s="18">
        <f t="shared" si="0"/>
        <v>0</v>
      </c>
      <c r="H38" s="19">
        <f t="shared" si="1"/>
        <v>0</v>
      </c>
      <c r="I38" s="18">
        <f t="shared" si="2"/>
        <v>0</v>
      </c>
      <c r="J38" s="19">
        <f t="shared" si="3"/>
        <v>0</v>
      </c>
      <c r="L38" s="15" t="s">
        <v>486</v>
      </c>
      <c r="M38" s="16" t="s">
        <v>487</v>
      </c>
      <c r="N38" s="17">
        <f>VLOOKUP(L38,PL!$A:$S,$C$1+3,FALSE)</f>
        <v>1947685634.1300001</v>
      </c>
      <c r="O38" s="17">
        <f>VLOOKUP(L38,PL!$A:$S,$C$1+4,FALSE)</f>
        <v>1878759590.6900001</v>
      </c>
      <c r="P38" s="17">
        <f>VLOOKUP(L38,PL!$A:$S,$C$1+5,FALSE)</f>
        <v>1509643077.5899999</v>
      </c>
      <c r="Q38" s="18">
        <f t="shared" si="4"/>
        <v>-68926043.440000057</v>
      </c>
      <c r="R38" s="19">
        <f t="shared" si="5"/>
        <v>-3.5388690162408171E-2</v>
      </c>
      <c r="S38" s="18">
        <f t="shared" si="6"/>
        <v>-369116513.10000014</v>
      </c>
      <c r="T38" s="19">
        <f t="shared" si="7"/>
        <v>-0.19646819898039061</v>
      </c>
    </row>
    <row r="39" spans="2:21" x14ac:dyDescent="0.4">
      <c r="B39" s="6" t="s">
        <v>90</v>
      </c>
      <c r="C39" s="20" t="s">
        <v>91</v>
      </c>
      <c r="D39" s="17">
        <f>VLOOKUP(B39,BS!$A:$S,18,FALSE)-VLOOKUP(B39,BS!$A:$S,$C$1+5,FALSE)-VLOOKUP(B39,BS!$A:$S,$C$1+4,FALSE)</f>
        <v>86278467</v>
      </c>
      <c r="E39" s="17">
        <f>VLOOKUP(B39,BS!$A:$S,18,FALSE)-VLOOKUP(B39,BS!$A:$S,$C$1+5,FALSE)</f>
        <v>86162066</v>
      </c>
      <c r="F39" s="17">
        <f>VLOOKUP(B39,BS!$A:$S,18,FALSE)</f>
        <v>86684414</v>
      </c>
      <c r="G39" s="18">
        <f t="shared" si="0"/>
        <v>-116401</v>
      </c>
      <c r="H39" s="19">
        <f t="shared" si="1"/>
        <v>-1.3491315278005578E-3</v>
      </c>
      <c r="I39" s="18">
        <f t="shared" si="2"/>
        <v>522348</v>
      </c>
      <c r="J39" s="19">
        <f t="shared" si="3"/>
        <v>6.0623894510607483E-3</v>
      </c>
      <c r="L39" s="15" t="s">
        <v>488</v>
      </c>
      <c r="M39" s="16" t="s">
        <v>489</v>
      </c>
      <c r="N39" s="17">
        <f>VLOOKUP(L39,PL!$A:$S,$C$1+3,FALSE)</f>
        <v>1730193500.2</v>
      </c>
      <c r="O39" s="17">
        <f>VLOOKUP(L39,PL!$A:$S,$C$1+4,FALSE)</f>
        <v>1873676717.6800001</v>
      </c>
      <c r="P39" s="17">
        <f>VLOOKUP(L39,PL!$A:$S,$C$1+5,FALSE)</f>
        <v>1721112014.22</v>
      </c>
      <c r="Q39" s="18">
        <f t="shared" si="4"/>
        <v>143483217.48000002</v>
      </c>
      <c r="R39" s="19">
        <f t="shared" si="5"/>
        <v>8.2929000405685391E-2</v>
      </c>
      <c r="S39" s="18">
        <f t="shared" si="6"/>
        <v>-152564703.46000004</v>
      </c>
      <c r="T39" s="19">
        <f t="shared" si="7"/>
        <v>-8.1425307802781871E-2</v>
      </c>
    </row>
    <row r="40" spans="2:21" x14ac:dyDescent="0.4">
      <c r="B40" s="6" t="s">
        <v>92</v>
      </c>
      <c r="C40" s="20" t="s">
        <v>93</v>
      </c>
      <c r="D40" s="17">
        <f>VLOOKUP(B40,BS!$A:$S,18,FALSE)-VLOOKUP(B40,BS!$A:$S,$C$1+5,FALSE)-VLOOKUP(B40,BS!$A:$S,$C$1+4,FALSE)</f>
        <v>-2050336954</v>
      </c>
      <c r="E40" s="17">
        <f>VLOOKUP(B40,BS!$A:$S,18,FALSE)-VLOOKUP(B40,BS!$A:$S,$C$1+5,FALSE)</f>
        <v>-2056988467</v>
      </c>
      <c r="F40" s="17">
        <f>VLOOKUP(B40,BS!$A:$S,18,FALSE)</f>
        <v>-1953184944</v>
      </c>
      <c r="G40" s="18">
        <f t="shared" si="0"/>
        <v>-6651513</v>
      </c>
      <c r="H40" s="19">
        <f t="shared" si="1"/>
        <v>3.2441072610155958E-3</v>
      </c>
      <c r="I40" s="18">
        <f t="shared" si="2"/>
        <v>103803523</v>
      </c>
      <c r="J40" s="19">
        <f t="shared" si="3"/>
        <v>-5.0463833252012105E-2</v>
      </c>
      <c r="L40" s="6" t="s">
        <v>490</v>
      </c>
      <c r="M40" s="20" t="s">
        <v>491</v>
      </c>
      <c r="N40" s="17">
        <f>VLOOKUP(L40,PL!$A:$S,$C$1+3,FALSE)</f>
        <v>481630012.10000002</v>
      </c>
      <c r="O40" s="17">
        <f>VLOOKUP(L40,PL!$A:$S,$C$1+4,FALSE)</f>
        <v>588665043.72000003</v>
      </c>
      <c r="P40" s="17">
        <f>VLOOKUP(L40,PL!$A:$S,$C$1+5,FALSE)</f>
        <v>416361263.38999999</v>
      </c>
      <c r="Q40" s="18">
        <f t="shared" si="4"/>
        <v>107035031.62</v>
      </c>
      <c r="R40" s="19">
        <f t="shared" si="5"/>
        <v>0.22223497068487605</v>
      </c>
      <c r="S40" s="18">
        <f t="shared" si="6"/>
        <v>-172303780.33000004</v>
      </c>
      <c r="T40" s="19">
        <f t="shared" si="7"/>
        <v>-0.29270258556741607</v>
      </c>
    </row>
    <row r="41" spans="2:21" x14ac:dyDescent="0.4">
      <c r="B41" s="6" t="s">
        <v>94</v>
      </c>
      <c r="C41" s="20" t="s">
        <v>95</v>
      </c>
      <c r="D41" s="17">
        <f>VLOOKUP(B41,BS!$A:$S,18,FALSE)-VLOOKUP(B41,BS!$A:$S,$C$1+5,FALSE)-VLOOKUP(B41,BS!$A:$S,$C$1+4,FALSE)</f>
        <v>0</v>
      </c>
      <c r="E41" s="17">
        <f>VLOOKUP(B41,BS!$A:$S,18,FALSE)-VLOOKUP(B41,BS!$A:$S,$C$1+5,FALSE)</f>
        <v>0</v>
      </c>
      <c r="F41" s="17">
        <f>VLOOKUP(B41,BS!$A:$S,18,FALSE)</f>
        <v>0</v>
      </c>
      <c r="G41" s="18">
        <f t="shared" si="0"/>
        <v>0</v>
      </c>
      <c r="H41" s="19">
        <f t="shared" si="1"/>
        <v>0</v>
      </c>
      <c r="I41" s="18">
        <f t="shared" si="2"/>
        <v>0</v>
      </c>
      <c r="J41" s="19">
        <f t="shared" si="3"/>
        <v>0</v>
      </c>
      <c r="L41" s="6" t="s">
        <v>492</v>
      </c>
      <c r="M41" s="20" t="s">
        <v>493</v>
      </c>
      <c r="N41" s="17">
        <f>VLOOKUP(L41,PL!$A:$S,$C$1+3,FALSE)</f>
        <v>904080428.71000004</v>
      </c>
      <c r="O41" s="17">
        <f>VLOOKUP(L41,PL!$A:$S,$C$1+4,FALSE)</f>
        <v>870336369.04999995</v>
      </c>
      <c r="P41" s="17">
        <f>VLOOKUP(L41,PL!$A:$S,$C$1+5,FALSE)</f>
        <v>934546884.02999997</v>
      </c>
      <c r="Q41" s="18">
        <f t="shared" si="4"/>
        <v>-33744059.660000086</v>
      </c>
      <c r="R41" s="19">
        <f t="shared" si="5"/>
        <v>-3.7324178898716205E-2</v>
      </c>
      <c r="S41" s="18">
        <f t="shared" si="6"/>
        <v>64210514.980000019</v>
      </c>
      <c r="T41" s="19">
        <f t="shared" si="7"/>
        <v>7.3776665279526185E-2</v>
      </c>
    </row>
    <row r="42" spans="2:21" x14ac:dyDescent="0.4">
      <c r="B42" s="6" t="s">
        <v>96</v>
      </c>
      <c r="C42" s="20" t="s">
        <v>97</v>
      </c>
      <c r="D42" s="17">
        <f>VLOOKUP(B42,BS!$A:$S,18,FALSE)-VLOOKUP(B42,BS!$A:$S,$C$1+5,FALSE)-VLOOKUP(B42,BS!$A:$S,$C$1+4,FALSE)</f>
        <v>0</v>
      </c>
      <c r="E42" s="17">
        <f>VLOOKUP(B42,BS!$A:$S,18,FALSE)-VLOOKUP(B42,BS!$A:$S,$C$1+5,FALSE)</f>
        <v>0</v>
      </c>
      <c r="F42" s="17">
        <f>VLOOKUP(B42,BS!$A:$S,18,FALSE)</f>
        <v>0</v>
      </c>
      <c r="G42" s="18">
        <f t="shared" si="0"/>
        <v>0</v>
      </c>
      <c r="H42" s="19">
        <f t="shared" si="1"/>
        <v>0</v>
      </c>
      <c r="I42" s="18">
        <f t="shared" si="2"/>
        <v>0</v>
      </c>
      <c r="J42" s="19">
        <f t="shared" si="3"/>
        <v>0</v>
      </c>
      <c r="L42" s="6" t="s">
        <v>494</v>
      </c>
      <c r="M42" s="20" t="s">
        <v>495</v>
      </c>
      <c r="N42" s="17">
        <f>VLOOKUP(L42,PL!$A:$S,$C$1+3,FALSE)</f>
        <v>0</v>
      </c>
      <c r="O42" s="17">
        <f>VLOOKUP(L42,PL!$A:$S,$C$1+4,FALSE)</f>
        <v>0</v>
      </c>
      <c r="P42" s="17">
        <f>VLOOKUP(L42,PL!$A:$S,$C$1+5,FALSE)</f>
        <v>0</v>
      </c>
      <c r="Q42" s="18">
        <f t="shared" si="4"/>
        <v>0</v>
      </c>
      <c r="R42" s="19">
        <f t="shared" si="5"/>
        <v>0</v>
      </c>
      <c r="S42" s="18">
        <f t="shared" si="6"/>
        <v>0</v>
      </c>
      <c r="T42" s="19">
        <f t="shared" si="7"/>
        <v>0</v>
      </c>
    </row>
    <row r="43" spans="2:21" x14ac:dyDescent="0.4">
      <c r="B43" s="6" t="s">
        <v>98</v>
      </c>
      <c r="C43" s="20" t="s">
        <v>99</v>
      </c>
      <c r="D43" s="17">
        <f>VLOOKUP(B43,BS!$A:$S,18,FALSE)-VLOOKUP(B43,BS!$A:$S,$C$1+5,FALSE)-VLOOKUP(B43,BS!$A:$S,$C$1+4,FALSE)</f>
        <v>0</v>
      </c>
      <c r="E43" s="17">
        <f>VLOOKUP(B43,BS!$A:$S,18,FALSE)-VLOOKUP(B43,BS!$A:$S,$C$1+5,FALSE)</f>
        <v>0</v>
      </c>
      <c r="F43" s="17">
        <f>VLOOKUP(B43,BS!$A:$S,18,FALSE)</f>
        <v>0</v>
      </c>
      <c r="G43" s="18">
        <f t="shared" si="0"/>
        <v>0</v>
      </c>
      <c r="H43" s="19">
        <f t="shared" si="1"/>
        <v>0</v>
      </c>
      <c r="I43" s="18">
        <f t="shared" si="2"/>
        <v>0</v>
      </c>
      <c r="J43" s="19">
        <f t="shared" si="3"/>
        <v>0</v>
      </c>
      <c r="L43" s="6" t="s">
        <v>741</v>
      </c>
      <c r="M43" s="20" t="s">
        <v>742</v>
      </c>
      <c r="N43" s="17">
        <f>VLOOKUP(L43,PL!$A:$S,$C$1+3,FALSE)</f>
        <v>0</v>
      </c>
      <c r="O43" s="17">
        <f>VLOOKUP(L43,PL!$A:$S,$C$1+4,FALSE)</f>
        <v>0</v>
      </c>
      <c r="P43" s="17">
        <f>VLOOKUP(L43,PL!$A:$S,$C$1+5,FALSE)</f>
        <v>0</v>
      </c>
      <c r="Q43" s="18">
        <f t="shared" ref="Q43" si="18">O43-N43</f>
        <v>0</v>
      </c>
      <c r="R43" s="19">
        <f t="shared" ref="R43" si="19">IFERROR(Q43/N43,0)</f>
        <v>0</v>
      </c>
      <c r="S43" s="18">
        <f t="shared" ref="S43" si="20">P43-O43</f>
        <v>0</v>
      </c>
      <c r="T43" s="19">
        <f t="shared" ref="T43" si="21">IFERROR(S43/O43,0)</f>
        <v>0</v>
      </c>
    </row>
    <row r="44" spans="2:21" x14ac:dyDescent="0.4">
      <c r="B44" s="6" t="s">
        <v>100</v>
      </c>
      <c r="C44" s="20" t="s">
        <v>101</v>
      </c>
      <c r="D44" s="17">
        <f>VLOOKUP(B44,BS!$A:$S,18,FALSE)-VLOOKUP(B44,BS!$A:$S,$C$1+5,FALSE)-VLOOKUP(B44,BS!$A:$S,$C$1+4,FALSE)</f>
        <v>0</v>
      </c>
      <c r="E44" s="17">
        <f>VLOOKUP(B44,BS!$A:$S,18,FALSE)-VLOOKUP(B44,BS!$A:$S,$C$1+5,FALSE)</f>
        <v>0</v>
      </c>
      <c r="F44" s="17">
        <f>VLOOKUP(B44,BS!$A:$S,18,FALSE)</f>
        <v>0</v>
      </c>
      <c r="G44" s="18">
        <f t="shared" si="0"/>
        <v>0</v>
      </c>
      <c r="H44" s="19">
        <f t="shared" si="1"/>
        <v>0</v>
      </c>
      <c r="I44" s="18">
        <f t="shared" si="2"/>
        <v>0</v>
      </c>
      <c r="J44" s="19">
        <f t="shared" si="3"/>
        <v>0</v>
      </c>
      <c r="L44" s="6" t="s">
        <v>496</v>
      </c>
      <c r="M44" s="20" t="s">
        <v>497</v>
      </c>
      <c r="N44" s="17">
        <f>VLOOKUP(L44,PL!$A:$S,$C$1+3,FALSE)</f>
        <v>0</v>
      </c>
      <c r="O44" s="17">
        <f>VLOOKUP(L44,PL!$A:$S,$C$1+4,FALSE)</f>
        <v>0</v>
      </c>
      <c r="P44" s="17">
        <f>VLOOKUP(L44,PL!$A:$S,$C$1+5,FALSE)</f>
        <v>0</v>
      </c>
      <c r="Q44" s="18">
        <f t="shared" si="4"/>
        <v>0</v>
      </c>
      <c r="R44" s="19">
        <f t="shared" si="5"/>
        <v>0</v>
      </c>
      <c r="S44" s="18">
        <f t="shared" si="6"/>
        <v>0</v>
      </c>
      <c r="T44" s="19">
        <f t="shared" si="7"/>
        <v>0</v>
      </c>
    </row>
    <row r="45" spans="2:21" x14ac:dyDescent="0.4">
      <c r="B45" s="6" t="s">
        <v>102</v>
      </c>
      <c r="C45" s="20" t="s">
        <v>103</v>
      </c>
      <c r="D45" s="17">
        <f>VLOOKUP(B45,BS!$A:$S,18,FALSE)-VLOOKUP(B45,BS!$A:$S,$C$1+5,FALSE)-VLOOKUP(B45,BS!$A:$S,$C$1+4,FALSE)</f>
        <v>0</v>
      </c>
      <c r="E45" s="17">
        <f>VLOOKUP(B45,BS!$A:$S,18,FALSE)-VLOOKUP(B45,BS!$A:$S,$C$1+5,FALSE)</f>
        <v>0</v>
      </c>
      <c r="F45" s="17">
        <f>VLOOKUP(B45,BS!$A:$S,18,FALSE)</f>
        <v>0</v>
      </c>
      <c r="G45" s="18">
        <f t="shared" si="0"/>
        <v>0</v>
      </c>
      <c r="H45" s="19">
        <f t="shared" si="1"/>
        <v>0</v>
      </c>
      <c r="I45" s="18">
        <f t="shared" si="2"/>
        <v>0</v>
      </c>
      <c r="J45" s="19">
        <f t="shared" si="3"/>
        <v>0</v>
      </c>
      <c r="L45" s="6" t="s">
        <v>498</v>
      </c>
      <c r="M45" s="20" t="s">
        <v>499</v>
      </c>
      <c r="N45" s="17">
        <f>VLOOKUP(L45,PL!$A:$S,$C$1+3,FALSE)</f>
        <v>66828707.450000003</v>
      </c>
      <c r="O45" s="17">
        <f>VLOOKUP(L45,PL!$A:$S,$C$1+4,FALSE)</f>
        <v>78390953.140000001</v>
      </c>
      <c r="P45" s="17">
        <f>VLOOKUP(L45,PL!$A:$S,$C$1+5,FALSE)</f>
        <v>87905163.329999998</v>
      </c>
      <c r="Q45" s="18">
        <f t="shared" si="4"/>
        <v>11562245.689999998</v>
      </c>
      <c r="R45" s="19">
        <f t="shared" si="5"/>
        <v>0.17301315753638741</v>
      </c>
      <c r="S45" s="18">
        <f t="shared" si="6"/>
        <v>9514210.1899999976</v>
      </c>
      <c r="T45" s="19">
        <f t="shared" si="7"/>
        <v>0.12136872698828366</v>
      </c>
    </row>
    <row r="46" spans="2:21" x14ac:dyDescent="0.4">
      <c r="B46" s="6" t="s">
        <v>104</v>
      </c>
      <c r="C46" s="20" t="s">
        <v>105</v>
      </c>
      <c r="D46" s="17">
        <f>VLOOKUP(B46,BS!$A:$S,18,FALSE)-VLOOKUP(B46,BS!$A:$S,$C$1+5,FALSE)-VLOOKUP(B46,BS!$A:$S,$C$1+4,FALSE)</f>
        <v>0</v>
      </c>
      <c r="E46" s="17">
        <f>VLOOKUP(B46,BS!$A:$S,18,FALSE)-VLOOKUP(B46,BS!$A:$S,$C$1+5,FALSE)</f>
        <v>0</v>
      </c>
      <c r="F46" s="17">
        <f>VLOOKUP(B46,BS!$A:$S,18,FALSE)</f>
        <v>0</v>
      </c>
      <c r="G46" s="18">
        <f t="shared" si="0"/>
        <v>0</v>
      </c>
      <c r="H46" s="19">
        <f t="shared" si="1"/>
        <v>0</v>
      </c>
      <c r="I46" s="18">
        <f t="shared" si="2"/>
        <v>0</v>
      </c>
      <c r="J46" s="19">
        <f t="shared" si="3"/>
        <v>0</v>
      </c>
      <c r="L46" s="6" t="s">
        <v>500</v>
      </c>
      <c r="M46" s="20" t="s">
        <v>501</v>
      </c>
      <c r="N46" s="17">
        <f>VLOOKUP(L46,PL!$A:$S,$C$1+3,FALSE)</f>
        <v>0</v>
      </c>
      <c r="O46" s="17">
        <f>VLOOKUP(L46,PL!$A:$S,$C$1+4,FALSE)</f>
        <v>0</v>
      </c>
      <c r="P46" s="17">
        <f>VLOOKUP(L46,PL!$A:$S,$C$1+5,FALSE)</f>
        <v>0</v>
      </c>
      <c r="Q46" s="18">
        <f t="shared" si="4"/>
        <v>0</v>
      </c>
      <c r="R46" s="19">
        <f t="shared" si="5"/>
        <v>0</v>
      </c>
      <c r="S46" s="18">
        <f t="shared" si="6"/>
        <v>0</v>
      </c>
      <c r="T46" s="19">
        <f t="shared" si="7"/>
        <v>0</v>
      </c>
      <c r="U46" s="30"/>
    </row>
    <row r="47" spans="2:21" x14ac:dyDescent="0.4">
      <c r="B47" s="6" t="s">
        <v>106</v>
      </c>
      <c r="C47" s="20" t="s">
        <v>107</v>
      </c>
      <c r="D47" s="17">
        <f>VLOOKUP(B47,BS!$A:$S,18,FALSE)-VLOOKUP(B47,BS!$A:$S,$C$1+5,FALSE)-VLOOKUP(B47,BS!$A:$S,$C$1+4,FALSE)</f>
        <v>0</v>
      </c>
      <c r="E47" s="17">
        <f>VLOOKUP(B47,BS!$A:$S,18,FALSE)-VLOOKUP(B47,BS!$A:$S,$C$1+5,FALSE)</f>
        <v>0</v>
      </c>
      <c r="F47" s="17">
        <f>VLOOKUP(B47,BS!$A:$S,18,FALSE)</f>
        <v>0</v>
      </c>
      <c r="G47" s="18">
        <f t="shared" si="0"/>
        <v>0</v>
      </c>
      <c r="H47" s="19">
        <f t="shared" si="1"/>
        <v>0</v>
      </c>
      <c r="I47" s="18">
        <f t="shared" si="2"/>
        <v>0</v>
      </c>
      <c r="J47" s="19">
        <f t="shared" si="3"/>
        <v>0</v>
      </c>
      <c r="L47" s="6" t="s">
        <v>502</v>
      </c>
      <c r="M47" s="20" t="s">
        <v>503</v>
      </c>
      <c r="N47" s="17">
        <f>VLOOKUP(L47,PL!$A:$S,$C$1+3,FALSE)</f>
        <v>7864408.4299999997</v>
      </c>
      <c r="O47" s="17">
        <f>VLOOKUP(L47,PL!$A:$S,$C$1+4,FALSE)</f>
        <v>33334871.57</v>
      </c>
      <c r="P47" s="17">
        <f>VLOOKUP(L47,PL!$A:$S,$C$1+5,FALSE)</f>
        <v>19531863.5</v>
      </c>
      <c r="Q47" s="18">
        <f t="shared" si="4"/>
        <v>25470463.140000001</v>
      </c>
      <c r="R47" s="19">
        <f t="shared" si="5"/>
        <v>3.2387004523873641</v>
      </c>
      <c r="S47" s="18">
        <f t="shared" si="6"/>
        <v>-13803008.07</v>
      </c>
      <c r="T47" s="19">
        <f t="shared" si="7"/>
        <v>-0.41407113391797595</v>
      </c>
    </row>
    <row r="48" spans="2:21" x14ac:dyDescent="0.4">
      <c r="B48" s="6" t="s">
        <v>108</v>
      </c>
      <c r="C48" s="20" t="s">
        <v>109</v>
      </c>
      <c r="D48" s="17">
        <f>VLOOKUP(B48,BS!$A:$S,18,FALSE)-VLOOKUP(B48,BS!$A:$S,$C$1+5,FALSE)-VLOOKUP(B48,BS!$A:$S,$C$1+4,FALSE)</f>
        <v>0</v>
      </c>
      <c r="E48" s="17">
        <f>VLOOKUP(B48,BS!$A:$S,18,FALSE)-VLOOKUP(B48,BS!$A:$S,$C$1+5,FALSE)</f>
        <v>0</v>
      </c>
      <c r="F48" s="17">
        <f>VLOOKUP(B48,BS!$A:$S,18,FALSE)</f>
        <v>0</v>
      </c>
      <c r="G48" s="18">
        <f t="shared" si="0"/>
        <v>0</v>
      </c>
      <c r="H48" s="19">
        <f t="shared" si="1"/>
        <v>0</v>
      </c>
      <c r="I48" s="18">
        <f t="shared" si="2"/>
        <v>0</v>
      </c>
      <c r="J48" s="19">
        <f t="shared" si="3"/>
        <v>0</v>
      </c>
      <c r="L48" s="6" t="s">
        <v>504</v>
      </c>
      <c r="M48" s="20" t="s">
        <v>505</v>
      </c>
      <c r="N48" s="17">
        <f>VLOOKUP(L48,PL!$A:$S,$C$1+3,FALSE)</f>
        <v>0</v>
      </c>
      <c r="O48" s="17">
        <f>VLOOKUP(L48,PL!$A:$S,$C$1+4,FALSE)</f>
        <v>0</v>
      </c>
      <c r="P48" s="17">
        <f>VLOOKUP(L48,PL!$A:$S,$C$1+5,FALSE)</f>
        <v>0</v>
      </c>
      <c r="Q48" s="18">
        <f t="shared" si="4"/>
        <v>0</v>
      </c>
      <c r="R48" s="19">
        <f t="shared" si="5"/>
        <v>0</v>
      </c>
      <c r="S48" s="18">
        <f t="shared" si="6"/>
        <v>0</v>
      </c>
      <c r="T48" s="19">
        <f t="shared" si="7"/>
        <v>0</v>
      </c>
    </row>
    <row r="49" spans="2:20" x14ac:dyDescent="0.4">
      <c r="B49" s="6" t="s">
        <v>110</v>
      </c>
      <c r="C49" s="20" t="s">
        <v>111</v>
      </c>
      <c r="D49" s="17">
        <f>VLOOKUP(B49,BS!$A:$S,18,FALSE)-VLOOKUP(B49,BS!$A:$S,$C$1+5,FALSE)-VLOOKUP(B49,BS!$A:$S,$C$1+4,FALSE)</f>
        <v>203256589.78999999</v>
      </c>
      <c r="E49" s="17">
        <f>VLOOKUP(B49,BS!$A:$S,18,FALSE)-VLOOKUP(B49,BS!$A:$S,$C$1+5,FALSE)</f>
        <v>199559817.91999999</v>
      </c>
      <c r="F49" s="17">
        <f>VLOOKUP(B49,BS!$A:$S,18,FALSE)</f>
        <v>183630016.06999999</v>
      </c>
      <c r="G49" s="18">
        <f t="shared" si="0"/>
        <v>-3696771.8700000048</v>
      </c>
      <c r="H49" s="19">
        <f t="shared" si="1"/>
        <v>-1.8187709799812268E-2</v>
      </c>
      <c r="I49" s="18">
        <f t="shared" si="2"/>
        <v>-15929801.849999994</v>
      </c>
      <c r="J49" s="19">
        <f t="shared" si="3"/>
        <v>-7.9824696254162608E-2</v>
      </c>
      <c r="L49" s="6" t="s">
        <v>506</v>
      </c>
      <c r="M49" s="20" t="s">
        <v>507</v>
      </c>
      <c r="N49" s="17">
        <f>VLOOKUP(L49,PL!$A:$S,$C$1+3,FALSE)</f>
        <v>4810928.4400000004</v>
      </c>
      <c r="O49" s="17">
        <f>VLOOKUP(L49,PL!$A:$S,$C$1+4,FALSE)</f>
        <v>7475892.75</v>
      </c>
      <c r="P49" s="17">
        <f>VLOOKUP(L49,PL!$A:$S,$C$1+5,FALSE)</f>
        <v>3591026.71</v>
      </c>
      <c r="Q49" s="18">
        <f t="shared" si="4"/>
        <v>2664964.3099999996</v>
      </c>
      <c r="R49" s="19">
        <f t="shared" si="5"/>
        <v>0.55393971106333884</v>
      </c>
      <c r="S49" s="18">
        <f t="shared" si="6"/>
        <v>-3884866.04</v>
      </c>
      <c r="T49" s="19">
        <f t="shared" si="7"/>
        <v>-0.51965245756100498</v>
      </c>
    </row>
    <row r="50" spans="2:20" x14ac:dyDescent="0.4">
      <c r="B50" s="6" t="s">
        <v>112</v>
      </c>
      <c r="C50" s="20" t="s">
        <v>113</v>
      </c>
      <c r="D50" s="17">
        <f>VLOOKUP(B50,BS!$A:$S,18,FALSE)-VLOOKUP(B50,BS!$A:$S,$C$1+5,FALSE)-VLOOKUP(B50,BS!$A:$S,$C$1+4,FALSE)</f>
        <v>0</v>
      </c>
      <c r="E50" s="17">
        <f>VLOOKUP(B50,BS!$A:$S,18,FALSE)-VLOOKUP(B50,BS!$A:$S,$C$1+5,FALSE)</f>
        <v>0</v>
      </c>
      <c r="F50" s="17">
        <f>VLOOKUP(B50,BS!$A:$S,18,FALSE)</f>
        <v>0</v>
      </c>
      <c r="G50" s="18">
        <f t="shared" si="0"/>
        <v>0</v>
      </c>
      <c r="H50" s="19">
        <f t="shared" si="1"/>
        <v>0</v>
      </c>
      <c r="I50" s="18">
        <f t="shared" si="2"/>
        <v>0</v>
      </c>
      <c r="J50" s="19">
        <f t="shared" si="3"/>
        <v>0</v>
      </c>
      <c r="L50" s="6" t="s">
        <v>508</v>
      </c>
      <c r="M50" s="20" t="s">
        <v>509</v>
      </c>
      <c r="N50" s="17">
        <f>VLOOKUP(L50,PL!$A:$S,$C$1+3,FALSE)</f>
        <v>0</v>
      </c>
      <c r="O50" s="17">
        <f>VLOOKUP(L50,PL!$A:$S,$C$1+4,FALSE)</f>
        <v>0</v>
      </c>
      <c r="P50" s="17">
        <f>VLOOKUP(L50,PL!$A:$S,$C$1+5,FALSE)</f>
        <v>0</v>
      </c>
      <c r="Q50" s="18">
        <f t="shared" si="4"/>
        <v>0</v>
      </c>
      <c r="R50" s="19">
        <f t="shared" si="5"/>
        <v>0</v>
      </c>
      <c r="S50" s="18">
        <f t="shared" si="6"/>
        <v>0</v>
      </c>
      <c r="T50" s="19">
        <f t="shared" si="7"/>
        <v>0</v>
      </c>
    </row>
    <row r="51" spans="2:20" x14ac:dyDescent="0.4">
      <c r="B51" s="6" t="s">
        <v>114</v>
      </c>
      <c r="C51" s="20" t="s">
        <v>115</v>
      </c>
      <c r="D51" s="17">
        <f>VLOOKUP(B51,BS!$A:$S,18,FALSE)-VLOOKUP(B51,BS!$A:$S,$C$1+5,FALSE)-VLOOKUP(B51,BS!$A:$S,$C$1+4,FALSE)</f>
        <v>0</v>
      </c>
      <c r="E51" s="17">
        <f>VLOOKUP(B51,BS!$A:$S,18,FALSE)-VLOOKUP(B51,BS!$A:$S,$C$1+5,FALSE)</f>
        <v>0</v>
      </c>
      <c r="F51" s="17">
        <f>VLOOKUP(B51,BS!$A:$S,18,FALSE)</f>
        <v>-862015011</v>
      </c>
      <c r="G51" s="18">
        <f t="shared" si="0"/>
        <v>0</v>
      </c>
      <c r="H51" s="19">
        <f t="shared" si="1"/>
        <v>0</v>
      </c>
      <c r="I51" s="18">
        <f t="shared" si="2"/>
        <v>-862015011</v>
      </c>
      <c r="J51" s="19">
        <f t="shared" si="3"/>
        <v>0</v>
      </c>
      <c r="L51" s="6" t="s">
        <v>510</v>
      </c>
      <c r="M51" s="20" t="s">
        <v>511</v>
      </c>
      <c r="N51" s="17">
        <f>VLOOKUP(L51,PL!$A:$S,$C$1+3,FALSE)</f>
        <v>13872117.140000001</v>
      </c>
      <c r="O51" s="17">
        <f>VLOOKUP(L51,PL!$A:$S,$C$1+4,FALSE)</f>
        <v>17082184.289999999</v>
      </c>
      <c r="P51" s="17">
        <f>VLOOKUP(L51,PL!$A:$S,$C$1+5,FALSE)</f>
        <v>9879561.4299999997</v>
      </c>
      <c r="Q51" s="18">
        <f t="shared" si="4"/>
        <v>3210067.1499999985</v>
      </c>
      <c r="R51" s="19">
        <f t="shared" si="5"/>
        <v>0.23140427071105302</v>
      </c>
      <c r="S51" s="18">
        <f t="shared" si="6"/>
        <v>-7202622.8599999994</v>
      </c>
      <c r="T51" s="19">
        <f t="shared" si="7"/>
        <v>-0.42164530821836721</v>
      </c>
    </row>
    <row r="52" spans="2:20" x14ac:dyDescent="0.4">
      <c r="B52" s="6" t="s">
        <v>116</v>
      </c>
      <c r="C52" s="20" t="s">
        <v>117</v>
      </c>
      <c r="D52" s="17">
        <f>VLOOKUP(B52,BS!$A:$S,18,FALSE)-VLOOKUP(B52,BS!$A:$S,$C$1+5,FALSE)-VLOOKUP(B52,BS!$A:$S,$C$1+4,FALSE)</f>
        <v>0</v>
      </c>
      <c r="E52" s="17">
        <f>VLOOKUP(B52,BS!$A:$S,18,FALSE)-VLOOKUP(B52,BS!$A:$S,$C$1+5,FALSE)</f>
        <v>0</v>
      </c>
      <c r="F52" s="17">
        <f>VLOOKUP(B52,BS!$A:$S,18,FALSE)</f>
        <v>0</v>
      </c>
      <c r="G52" s="18">
        <f t="shared" si="0"/>
        <v>0</v>
      </c>
      <c r="H52" s="19">
        <f t="shared" si="1"/>
        <v>0</v>
      </c>
      <c r="I52" s="18">
        <f t="shared" si="2"/>
        <v>0</v>
      </c>
      <c r="J52" s="19">
        <f t="shared" si="3"/>
        <v>0</v>
      </c>
      <c r="L52" s="6" t="s">
        <v>512</v>
      </c>
      <c r="M52" s="20" t="s">
        <v>513</v>
      </c>
      <c r="N52" s="17">
        <f>VLOOKUP(L52,PL!$A:$S,$C$1+3,FALSE)</f>
        <v>6556423.1699999999</v>
      </c>
      <c r="O52" s="17">
        <f>VLOOKUP(L52,PL!$A:$S,$C$1+4,FALSE)</f>
        <v>5853159.9299999997</v>
      </c>
      <c r="P52" s="17">
        <f>VLOOKUP(L52,PL!$A:$S,$C$1+5,FALSE)</f>
        <v>6043139.9699999997</v>
      </c>
      <c r="Q52" s="18">
        <f t="shared" si="4"/>
        <v>-703263.24000000022</v>
      </c>
      <c r="R52" s="19">
        <f t="shared" si="5"/>
        <v>-0.10726324731721065</v>
      </c>
      <c r="S52" s="18">
        <f t="shared" si="6"/>
        <v>189980.04000000004</v>
      </c>
      <c r="T52" s="19">
        <f t="shared" si="7"/>
        <v>3.2457688201251667E-2</v>
      </c>
    </row>
    <row r="53" spans="2:20" x14ac:dyDescent="0.4">
      <c r="B53" s="15" t="s">
        <v>118</v>
      </c>
      <c r="C53" s="16" t="s">
        <v>119</v>
      </c>
      <c r="D53" s="17">
        <f>VLOOKUP(B53,BS!$A:$S,18,FALSE)-VLOOKUP(B53,BS!$A:$S,$C$1+5,FALSE)-VLOOKUP(B53,BS!$A:$S,$C$1+4,FALSE)</f>
        <v>1412592324.2099998</v>
      </c>
      <c r="E53" s="17">
        <f>VLOOKUP(B53,BS!$A:$S,18,FALSE)-VLOOKUP(B53,BS!$A:$S,$C$1+5,FALSE)</f>
        <v>1413607561.9499998</v>
      </c>
      <c r="F53" s="17">
        <f>VLOOKUP(B53,BS!$A:$S,18,FALSE)</f>
        <v>5948086483.1199999</v>
      </c>
      <c r="G53" s="18">
        <f t="shared" si="0"/>
        <v>1015237.7400000095</v>
      </c>
      <c r="H53" s="19">
        <f t="shared" si="1"/>
        <v>7.1870540608224458E-4</v>
      </c>
      <c r="I53" s="18">
        <f t="shared" si="2"/>
        <v>4534478921.1700001</v>
      </c>
      <c r="J53" s="19">
        <f t="shared" si="3"/>
        <v>3.2077353313779087</v>
      </c>
      <c r="L53" s="6" t="s">
        <v>514</v>
      </c>
      <c r="M53" s="20" t="s">
        <v>515</v>
      </c>
      <c r="N53" s="17">
        <f>VLOOKUP(L53,PL!$A:$S,$C$1+3,FALSE)</f>
        <v>326278.93</v>
      </c>
      <c r="O53" s="17">
        <f>VLOOKUP(L53,PL!$A:$S,$C$1+4,FALSE)</f>
        <v>318251.59000000003</v>
      </c>
      <c r="P53" s="17">
        <f>VLOOKUP(L53,PL!$A:$S,$C$1+5,FALSE)</f>
        <v>360116.67</v>
      </c>
      <c r="Q53" s="18">
        <f t="shared" si="4"/>
        <v>-8027.3399999999674</v>
      </c>
      <c r="R53" s="19">
        <f t="shared" si="5"/>
        <v>-2.4602691936006924E-2</v>
      </c>
      <c r="S53" s="18">
        <f t="shared" si="6"/>
        <v>41865.079999999958</v>
      </c>
      <c r="T53" s="19">
        <f t="shared" si="7"/>
        <v>0.13154711968603192</v>
      </c>
    </row>
    <row r="54" spans="2:20" x14ac:dyDescent="0.4">
      <c r="B54" s="15" t="s">
        <v>120</v>
      </c>
      <c r="C54" s="16" t="s">
        <v>121</v>
      </c>
      <c r="D54" s="17">
        <f>VLOOKUP(B54,BS!$A:$S,18,FALSE)-VLOOKUP(B54,BS!$A:$S,$C$1+5,FALSE)-VLOOKUP(B54,BS!$A:$S,$C$1+4,FALSE)</f>
        <v>0</v>
      </c>
      <c r="E54" s="17">
        <f>VLOOKUP(B54,BS!$A:$S,18,FALSE)-VLOOKUP(B54,BS!$A:$S,$C$1+5,FALSE)</f>
        <v>0</v>
      </c>
      <c r="F54" s="17">
        <f>VLOOKUP(B54,BS!$A:$S,18,FALSE)</f>
        <v>0</v>
      </c>
      <c r="G54" s="18">
        <f t="shared" si="0"/>
        <v>0</v>
      </c>
      <c r="H54" s="19">
        <f t="shared" si="1"/>
        <v>0</v>
      </c>
      <c r="I54" s="18">
        <f t="shared" si="2"/>
        <v>0</v>
      </c>
      <c r="J54" s="19">
        <f t="shared" si="3"/>
        <v>0</v>
      </c>
      <c r="L54" s="6" t="s">
        <v>516</v>
      </c>
      <c r="M54" s="20" t="s">
        <v>517</v>
      </c>
      <c r="N54" s="17">
        <f>VLOOKUP(L54,PL!$A:$S,$C$1+3,FALSE)</f>
        <v>138666437.5</v>
      </c>
      <c r="O54" s="17">
        <f>VLOOKUP(L54,PL!$A:$S,$C$1+4,FALSE)</f>
        <v>141166437.5</v>
      </c>
      <c r="P54" s="17">
        <f>VLOOKUP(L54,PL!$A:$S,$C$1+5,FALSE)</f>
        <v>-314155139.56999999</v>
      </c>
      <c r="Q54" s="18">
        <f t="shared" si="4"/>
        <v>2500000</v>
      </c>
      <c r="R54" s="19">
        <f t="shared" si="5"/>
        <v>1.802887594916398E-2</v>
      </c>
      <c r="S54" s="18">
        <f t="shared" si="6"/>
        <v>-455321577.06999999</v>
      </c>
      <c r="T54" s="19">
        <f t="shared" si="7"/>
        <v>-3.225423727718566</v>
      </c>
    </row>
    <row r="55" spans="2:20" x14ac:dyDescent="0.4">
      <c r="B55" s="6" t="s">
        <v>122</v>
      </c>
      <c r="C55" s="20" t="s">
        <v>123</v>
      </c>
      <c r="D55" s="17">
        <f>VLOOKUP(B55,BS!$A:$S,18,FALSE)-VLOOKUP(B55,BS!$A:$S,$C$1+5,FALSE)-VLOOKUP(B55,BS!$A:$S,$C$1+4,FALSE)</f>
        <v>0</v>
      </c>
      <c r="E55" s="17">
        <f>VLOOKUP(B55,BS!$A:$S,18,FALSE)-VLOOKUP(B55,BS!$A:$S,$C$1+5,FALSE)</f>
        <v>0</v>
      </c>
      <c r="F55" s="17">
        <f>VLOOKUP(B55,BS!$A:$S,18,FALSE)</f>
        <v>0</v>
      </c>
      <c r="G55" s="18">
        <f t="shared" si="0"/>
        <v>0</v>
      </c>
      <c r="H55" s="19">
        <f t="shared" si="1"/>
        <v>0</v>
      </c>
      <c r="I55" s="18">
        <f t="shared" si="2"/>
        <v>0</v>
      </c>
      <c r="J55" s="19">
        <f t="shared" si="3"/>
        <v>0</v>
      </c>
      <c r="L55" s="6" t="s">
        <v>518</v>
      </c>
      <c r="M55" s="20" t="s">
        <v>519</v>
      </c>
      <c r="N55" s="17">
        <f>VLOOKUP(L55,PL!$A:$S,$C$1+3,FALSE)</f>
        <v>18273118.739999998</v>
      </c>
      <c r="O55" s="17">
        <f>VLOOKUP(L55,PL!$A:$S,$C$1+4,FALSE)</f>
        <v>0</v>
      </c>
      <c r="P55" s="17">
        <f>VLOOKUP(L55,PL!$A:$S,$C$1+5,FALSE)</f>
        <v>10958913</v>
      </c>
      <c r="Q55" s="18">
        <f t="shared" si="4"/>
        <v>-18273118.739999998</v>
      </c>
      <c r="R55" s="19">
        <f t="shared" si="5"/>
        <v>-1</v>
      </c>
      <c r="S55" s="18">
        <f t="shared" si="6"/>
        <v>10958913</v>
      </c>
      <c r="T55" s="19">
        <f t="shared" si="7"/>
        <v>0</v>
      </c>
    </row>
    <row r="56" spans="2:20" x14ac:dyDescent="0.4">
      <c r="B56" s="6" t="s">
        <v>124</v>
      </c>
      <c r="C56" s="20" t="s">
        <v>35</v>
      </c>
      <c r="D56" s="17">
        <f>VLOOKUP(B56,BS!$A:$S,18,FALSE)-VLOOKUP(B56,BS!$A:$S,$C$1+5,FALSE)-VLOOKUP(B56,BS!$A:$S,$C$1+4,FALSE)</f>
        <v>0</v>
      </c>
      <c r="E56" s="17">
        <f>VLOOKUP(B56,BS!$A:$S,18,FALSE)-VLOOKUP(B56,BS!$A:$S,$C$1+5,FALSE)</f>
        <v>0</v>
      </c>
      <c r="F56" s="17">
        <f>VLOOKUP(B56,BS!$A:$S,18,FALSE)</f>
        <v>0</v>
      </c>
      <c r="G56" s="18">
        <f t="shared" si="0"/>
        <v>0</v>
      </c>
      <c r="H56" s="19">
        <f t="shared" si="1"/>
        <v>0</v>
      </c>
      <c r="I56" s="18">
        <f t="shared" si="2"/>
        <v>0</v>
      </c>
      <c r="J56" s="19">
        <f t="shared" si="3"/>
        <v>0</v>
      </c>
      <c r="L56" s="6" t="s">
        <v>520</v>
      </c>
      <c r="M56" s="20" t="s">
        <v>521</v>
      </c>
      <c r="N56" s="17">
        <f>VLOOKUP(L56,PL!$A:$S,$C$1+3,FALSE)</f>
        <v>0</v>
      </c>
      <c r="O56" s="17">
        <f>VLOOKUP(L56,PL!$A:$S,$C$1+4,FALSE)</f>
        <v>0</v>
      </c>
      <c r="P56" s="17">
        <f>VLOOKUP(L56,PL!$A:$S,$C$1+5,FALSE)</f>
        <v>0</v>
      </c>
      <c r="Q56" s="18">
        <f t="shared" si="4"/>
        <v>0</v>
      </c>
      <c r="R56" s="19">
        <f t="shared" si="5"/>
        <v>0</v>
      </c>
      <c r="S56" s="18">
        <f t="shared" si="6"/>
        <v>0</v>
      </c>
      <c r="T56" s="19">
        <f t="shared" si="7"/>
        <v>0</v>
      </c>
    </row>
    <row r="57" spans="2:20" x14ac:dyDescent="0.4">
      <c r="B57" s="6" t="s">
        <v>125</v>
      </c>
      <c r="C57" s="20" t="s">
        <v>37</v>
      </c>
      <c r="D57" s="17">
        <f>VLOOKUP(B57,BS!$A:$S,18,FALSE)-VLOOKUP(B57,BS!$A:$S,$C$1+5,FALSE)-VLOOKUP(B57,BS!$A:$S,$C$1+4,FALSE)</f>
        <v>0</v>
      </c>
      <c r="E57" s="17">
        <f>VLOOKUP(B57,BS!$A:$S,18,FALSE)-VLOOKUP(B57,BS!$A:$S,$C$1+5,FALSE)</f>
        <v>0</v>
      </c>
      <c r="F57" s="17">
        <f>VLOOKUP(B57,BS!$A:$S,18,FALSE)</f>
        <v>0</v>
      </c>
      <c r="G57" s="18">
        <f t="shared" si="0"/>
        <v>0</v>
      </c>
      <c r="H57" s="19">
        <f t="shared" si="1"/>
        <v>0</v>
      </c>
      <c r="I57" s="18">
        <f t="shared" si="2"/>
        <v>0</v>
      </c>
      <c r="J57" s="19">
        <f t="shared" si="3"/>
        <v>0</v>
      </c>
      <c r="L57" s="6" t="s">
        <v>522</v>
      </c>
      <c r="M57" s="20" t="s">
        <v>523</v>
      </c>
      <c r="N57" s="17">
        <f>VLOOKUP(L57,PL!$A:$S,$C$1+3,FALSE)</f>
        <v>2952732.56</v>
      </c>
      <c r="O57" s="17">
        <f>VLOOKUP(L57,PL!$A:$S,$C$1+4,FALSE)</f>
        <v>2944879.01</v>
      </c>
      <c r="P57" s="17">
        <f>VLOOKUP(L57,PL!$A:$S,$C$1+5,FALSE)</f>
        <v>3381350.3999999999</v>
      </c>
      <c r="Q57" s="18">
        <f t="shared" si="4"/>
        <v>-7853.5500000002794</v>
      </c>
      <c r="R57" s="19">
        <f t="shared" si="5"/>
        <v>-2.659756628958052E-3</v>
      </c>
      <c r="S57" s="18">
        <f t="shared" si="6"/>
        <v>436471.39000000013</v>
      </c>
      <c r="T57" s="19">
        <f t="shared" si="7"/>
        <v>0.14821369180800409</v>
      </c>
    </row>
    <row r="58" spans="2:20" x14ac:dyDescent="0.4">
      <c r="B58" s="6" t="s">
        <v>126</v>
      </c>
      <c r="C58" s="20" t="s">
        <v>127</v>
      </c>
      <c r="D58" s="17">
        <f>VLOOKUP(B58,BS!$A:$S,18,FALSE)-VLOOKUP(B58,BS!$A:$S,$C$1+5,FALSE)-VLOOKUP(B58,BS!$A:$S,$C$1+4,FALSE)</f>
        <v>0</v>
      </c>
      <c r="E58" s="17">
        <f>VLOOKUP(B58,BS!$A:$S,18,FALSE)-VLOOKUP(B58,BS!$A:$S,$C$1+5,FALSE)</f>
        <v>0</v>
      </c>
      <c r="F58" s="17">
        <f>VLOOKUP(B58,BS!$A:$S,18,FALSE)</f>
        <v>0</v>
      </c>
      <c r="G58" s="18">
        <f t="shared" si="0"/>
        <v>0</v>
      </c>
      <c r="H58" s="19">
        <f t="shared" si="1"/>
        <v>0</v>
      </c>
      <c r="I58" s="18">
        <f t="shared" si="2"/>
        <v>0</v>
      </c>
      <c r="J58" s="19">
        <f t="shared" si="3"/>
        <v>0</v>
      </c>
      <c r="L58" s="6" t="s">
        <v>524</v>
      </c>
      <c r="M58" s="20" t="s">
        <v>525</v>
      </c>
      <c r="N58" s="17">
        <f>VLOOKUP(L58,PL!$A:$S,$C$1+3,FALSE)</f>
        <v>29522602.719999999</v>
      </c>
      <c r="O58" s="17">
        <f>VLOOKUP(L58,PL!$A:$S,$C$1+4,FALSE)</f>
        <v>29486042.43</v>
      </c>
      <c r="P58" s="17">
        <f>VLOOKUP(L58,PL!$A:$S,$C$1+5,FALSE)</f>
        <v>29817690.57</v>
      </c>
      <c r="Q58" s="18">
        <f t="shared" si="4"/>
        <v>-36560.289999999106</v>
      </c>
      <c r="R58" s="19">
        <f t="shared" si="5"/>
        <v>-1.2383830228908459E-3</v>
      </c>
      <c r="S58" s="18">
        <f t="shared" si="6"/>
        <v>331648.1400000006</v>
      </c>
      <c r="T58" s="19">
        <f t="shared" si="7"/>
        <v>1.1247631512005547E-2</v>
      </c>
    </row>
    <row r="59" spans="2:20" x14ac:dyDescent="0.4">
      <c r="B59" s="6" t="s">
        <v>128</v>
      </c>
      <c r="C59" s="20" t="s">
        <v>129</v>
      </c>
      <c r="D59" s="17">
        <f>VLOOKUP(B59,BS!$A:$S,18,FALSE)-VLOOKUP(B59,BS!$A:$S,$C$1+5,FALSE)-VLOOKUP(B59,BS!$A:$S,$C$1+4,FALSE)</f>
        <v>0</v>
      </c>
      <c r="E59" s="17">
        <f>VLOOKUP(B59,BS!$A:$S,18,FALSE)-VLOOKUP(B59,BS!$A:$S,$C$1+5,FALSE)</f>
        <v>0</v>
      </c>
      <c r="F59" s="17">
        <f>VLOOKUP(B59,BS!$A:$S,18,FALSE)</f>
        <v>0</v>
      </c>
      <c r="G59" s="18">
        <f t="shared" si="0"/>
        <v>0</v>
      </c>
      <c r="H59" s="19">
        <f t="shared" si="1"/>
        <v>0</v>
      </c>
      <c r="I59" s="18">
        <f t="shared" si="2"/>
        <v>0</v>
      </c>
      <c r="J59" s="19">
        <f t="shared" si="3"/>
        <v>0</v>
      </c>
      <c r="L59" s="6" t="s">
        <v>526</v>
      </c>
      <c r="M59" s="20" t="s">
        <v>527</v>
      </c>
      <c r="N59" s="17">
        <f>VLOOKUP(L59,PL!$A:$S,$C$1+3,FALSE)</f>
        <v>0</v>
      </c>
      <c r="O59" s="17">
        <f>VLOOKUP(L59,PL!$A:$S,$C$1+4,FALSE)</f>
        <v>0</v>
      </c>
      <c r="P59" s="17">
        <f>VLOOKUP(L59,PL!$A:$S,$C$1+5,FALSE)</f>
        <v>417096460</v>
      </c>
      <c r="Q59" s="18">
        <f t="shared" si="4"/>
        <v>0</v>
      </c>
      <c r="R59" s="19">
        <f t="shared" si="5"/>
        <v>0</v>
      </c>
      <c r="S59" s="18">
        <f t="shared" si="6"/>
        <v>417096460</v>
      </c>
      <c r="T59" s="19">
        <f t="shared" si="7"/>
        <v>0</v>
      </c>
    </row>
    <row r="60" spans="2:20" x14ac:dyDescent="0.4">
      <c r="B60" s="6" t="s">
        <v>130</v>
      </c>
      <c r="C60" s="20" t="s">
        <v>131</v>
      </c>
      <c r="D60" s="17">
        <f>VLOOKUP(B60,BS!$A:$S,18,FALSE)-VLOOKUP(B60,BS!$A:$S,$C$1+5,FALSE)-VLOOKUP(B60,BS!$A:$S,$C$1+4,FALSE)</f>
        <v>0</v>
      </c>
      <c r="E60" s="17">
        <f>VLOOKUP(B60,BS!$A:$S,18,FALSE)-VLOOKUP(B60,BS!$A:$S,$C$1+5,FALSE)</f>
        <v>0</v>
      </c>
      <c r="F60" s="17">
        <f>VLOOKUP(B60,BS!$A:$S,18,FALSE)</f>
        <v>0</v>
      </c>
      <c r="G60" s="18">
        <f t="shared" si="0"/>
        <v>0</v>
      </c>
      <c r="H60" s="19">
        <f t="shared" si="1"/>
        <v>0</v>
      </c>
      <c r="I60" s="18">
        <f t="shared" si="2"/>
        <v>0</v>
      </c>
      <c r="J60" s="19">
        <f t="shared" si="3"/>
        <v>0</v>
      </c>
      <c r="L60" s="6" t="s">
        <v>528</v>
      </c>
      <c r="M60" s="20" t="s">
        <v>529</v>
      </c>
      <c r="N60" s="17">
        <f>VLOOKUP(L60,PL!$A:$S,$C$1+3,FALSE)</f>
        <v>973541.26</v>
      </c>
      <c r="O60" s="17">
        <f>VLOOKUP(L60,PL!$A:$S,$C$1+4,FALSE)</f>
        <v>973541.26</v>
      </c>
      <c r="P60" s="17">
        <f>VLOOKUP(L60,PL!$A:$S,$C$1+5,FALSE)</f>
        <v>973541.26</v>
      </c>
      <c r="Q60" s="18">
        <f t="shared" si="4"/>
        <v>0</v>
      </c>
      <c r="R60" s="19">
        <f t="shared" si="5"/>
        <v>0</v>
      </c>
      <c r="S60" s="18">
        <f t="shared" si="6"/>
        <v>0</v>
      </c>
      <c r="T60" s="19">
        <f t="shared" si="7"/>
        <v>0</v>
      </c>
    </row>
    <row r="61" spans="2:20" x14ac:dyDescent="0.4">
      <c r="B61" s="6" t="s">
        <v>132</v>
      </c>
      <c r="C61" s="20" t="s">
        <v>133</v>
      </c>
      <c r="D61" s="17">
        <f>VLOOKUP(B61,BS!$A:$S,18,FALSE)-VLOOKUP(B61,BS!$A:$S,$C$1+5,FALSE)-VLOOKUP(B61,BS!$A:$S,$C$1+4,FALSE)</f>
        <v>0</v>
      </c>
      <c r="E61" s="17">
        <f>VLOOKUP(B61,BS!$A:$S,18,FALSE)-VLOOKUP(B61,BS!$A:$S,$C$1+5,FALSE)</f>
        <v>0</v>
      </c>
      <c r="F61" s="17">
        <f>VLOOKUP(B61,BS!$A:$S,18,FALSE)</f>
        <v>0</v>
      </c>
      <c r="G61" s="18">
        <f t="shared" si="0"/>
        <v>0</v>
      </c>
      <c r="H61" s="19">
        <f t="shared" si="1"/>
        <v>0</v>
      </c>
      <c r="I61" s="18">
        <f t="shared" si="2"/>
        <v>0</v>
      </c>
      <c r="J61" s="19">
        <f t="shared" si="3"/>
        <v>0</v>
      </c>
      <c r="L61" s="6" t="s">
        <v>530</v>
      </c>
      <c r="M61" s="20" t="s">
        <v>531</v>
      </c>
      <c r="N61" s="17">
        <f>VLOOKUP(L61,PL!$A:$S,$C$1+3,FALSE)</f>
        <v>13330616.42</v>
      </c>
      <c r="O61" s="17">
        <f>VLOOKUP(L61,PL!$A:$S,$C$1+4,FALSE)</f>
        <v>45584307</v>
      </c>
      <c r="P61" s="17">
        <f>VLOOKUP(L61,PL!$A:$S,$C$1+5,FALSE)</f>
        <v>41273933.579999998</v>
      </c>
      <c r="Q61" s="18">
        <f t="shared" si="4"/>
        <v>32253690.579999998</v>
      </c>
      <c r="R61" s="19">
        <f t="shared" si="5"/>
        <v>2.4195198154235089</v>
      </c>
      <c r="S61" s="18">
        <f t="shared" si="6"/>
        <v>-4310373.4200000018</v>
      </c>
      <c r="T61" s="19">
        <f t="shared" si="7"/>
        <v>-9.455827462727473E-2</v>
      </c>
    </row>
    <row r="62" spans="2:20" x14ac:dyDescent="0.4">
      <c r="B62" s="6" t="s">
        <v>134</v>
      </c>
      <c r="C62" s="20" t="s">
        <v>135</v>
      </c>
      <c r="D62" s="17">
        <f>VLOOKUP(B62,BS!$A:$S,18,FALSE)-VLOOKUP(B62,BS!$A:$S,$C$1+5,FALSE)-VLOOKUP(B62,BS!$A:$S,$C$1+4,FALSE)</f>
        <v>0</v>
      </c>
      <c r="E62" s="17">
        <f>VLOOKUP(B62,BS!$A:$S,18,FALSE)-VLOOKUP(B62,BS!$A:$S,$C$1+5,FALSE)</f>
        <v>0</v>
      </c>
      <c r="F62" s="17">
        <f>VLOOKUP(B62,BS!$A:$S,18,FALSE)</f>
        <v>0</v>
      </c>
      <c r="G62" s="18">
        <f t="shared" si="0"/>
        <v>0</v>
      </c>
      <c r="H62" s="19">
        <f t="shared" si="1"/>
        <v>0</v>
      </c>
      <c r="I62" s="18">
        <f t="shared" si="2"/>
        <v>0</v>
      </c>
      <c r="J62" s="19">
        <f t="shared" si="3"/>
        <v>0</v>
      </c>
      <c r="L62" s="6" t="s">
        <v>532</v>
      </c>
      <c r="M62" s="20" t="s">
        <v>533</v>
      </c>
      <c r="N62" s="17">
        <f>VLOOKUP(L62,PL!$A:$S,$C$1+3,FALSE)</f>
        <v>0</v>
      </c>
      <c r="O62" s="17">
        <f>VLOOKUP(L62,PL!$A:$S,$C$1+4,FALSE)</f>
        <v>0</v>
      </c>
      <c r="P62" s="17">
        <f>VLOOKUP(L62,PL!$A:$S,$C$1+5,FALSE)</f>
        <v>0</v>
      </c>
      <c r="Q62" s="18">
        <f t="shared" si="4"/>
        <v>0</v>
      </c>
      <c r="R62" s="19">
        <f t="shared" si="5"/>
        <v>0</v>
      </c>
      <c r="S62" s="18">
        <f t="shared" si="6"/>
        <v>0</v>
      </c>
      <c r="T62" s="19">
        <f t="shared" si="7"/>
        <v>0</v>
      </c>
    </row>
    <row r="63" spans="2:20" x14ac:dyDescent="0.4">
      <c r="B63" s="6" t="s">
        <v>136</v>
      </c>
      <c r="C63" s="20" t="s">
        <v>137</v>
      </c>
      <c r="D63" s="17">
        <f>VLOOKUP(B63,BS!$A:$S,18,FALSE)-VLOOKUP(B63,BS!$A:$S,$C$1+5,FALSE)-VLOOKUP(B63,BS!$A:$S,$C$1+4,FALSE)</f>
        <v>0</v>
      </c>
      <c r="E63" s="17">
        <f>VLOOKUP(B63,BS!$A:$S,18,FALSE)-VLOOKUP(B63,BS!$A:$S,$C$1+5,FALSE)</f>
        <v>0</v>
      </c>
      <c r="F63" s="17">
        <f>VLOOKUP(B63,BS!$A:$S,18,FALSE)</f>
        <v>0</v>
      </c>
      <c r="G63" s="18">
        <f t="shared" si="0"/>
        <v>0</v>
      </c>
      <c r="H63" s="19">
        <f t="shared" si="1"/>
        <v>0</v>
      </c>
      <c r="I63" s="18">
        <f t="shared" si="2"/>
        <v>0</v>
      </c>
      <c r="J63" s="19">
        <f t="shared" si="3"/>
        <v>0</v>
      </c>
      <c r="L63" s="6" t="s">
        <v>534</v>
      </c>
      <c r="M63" s="20" t="s">
        <v>535</v>
      </c>
      <c r="N63" s="17">
        <f>VLOOKUP(L63,PL!$A:$S,$C$1+3,FALSE)</f>
        <v>111.18</v>
      </c>
      <c r="O63" s="17">
        <f>VLOOKUP(L63,PL!$A:$S,$C$1+4,FALSE)</f>
        <v>0</v>
      </c>
      <c r="P63" s="17">
        <f>VLOOKUP(L63,PL!$A:$S,$C$1+5,FALSE)</f>
        <v>629420.64</v>
      </c>
      <c r="Q63" s="18">
        <f t="shared" si="4"/>
        <v>-111.18</v>
      </c>
      <c r="R63" s="19">
        <f t="shared" si="5"/>
        <v>-1</v>
      </c>
      <c r="S63" s="18">
        <f t="shared" si="6"/>
        <v>629420.64</v>
      </c>
      <c r="T63" s="19">
        <f t="shared" si="7"/>
        <v>0</v>
      </c>
    </row>
    <row r="64" spans="2:20" x14ac:dyDescent="0.4">
      <c r="B64" s="6" t="s">
        <v>138</v>
      </c>
      <c r="C64" s="20" t="s">
        <v>139</v>
      </c>
      <c r="D64" s="17">
        <f>VLOOKUP(B64,BS!$A:$S,18,FALSE)-VLOOKUP(B64,BS!$A:$S,$C$1+5,FALSE)-VLOOKUP(B64,BS!$A:$S,$C$1+4,FALSE)</f>
        <v>0</v>
      </c>
      <c r="E64" s="17">
        <f>VLOOKUP(B64,BS!$A:$S,18,FALSE)-VLOOKUP(B64,BS!$A:$S,$C$1+5,FALSE)</f>
        <v>0</v>
      </c>
      <c r="F64" s="17">
        <f>VLOOKUP(B64,BS!$A:$S,18,FALSE)</f>
        <v>0</v>
      </c>
      <c r="G64" s="18">
        <f t="shared" si="0"/>
        <v>0</v>
      </c>
      <c r="H64" s="19">
        <f t="shared" si="1"/>
        <v>0</v>
      </c>
      <c r="I64" s="18">
        <f t="shared" si="2"/>
        <v>0</v>
      </c>
      <c r="J64" s="19">
        <f t="shared" si="3"/>
        <v>0</v>
      </c>
      <c r="L64" s="6" t="s">
        <v>536</v>
      </c>
      <c r="M64" s="20" t="s">
        <v>537</v>
      </c>
      <c r="N64" s="17">
        <f>VLOOKUP(L64,PL!$A:$S,$C$1+3,FALSE)</f>
        <v>31844844.449999999</v>
      </c>
      <c r="O64" s="17">
        <f>VLOOKUP(L64,PL!$A:$S,$C$1+4,FALSE)</f>
        <v>44787365.740000002</v>
      </c>
      <c r="P64" s="17">
        <f>VLOOKUP(L64,PL!$A:$S,$C$1+5,FALSE)</f>
        <v>24477591.010000002</v>
      </c>
      <c r="Q64" s="18">
        <f t="shared" si="4"/>
        <v>12942521.290000003</v>
      </c>
      <c r="R64" s="19">
        <f t="shared" si="5"/>
        <v>0.40642438402615599</v>
      </c>
      <c r="S64" s="18">
        <f t="shared" si="6"/>
        <v>-20309774.73</v>
      </c>
      <c r="T64" s="19">
        <f t="shared" si="7"/>
        <v>-0.4534710714602524</v>
      </c>
    </row>
    <row r="65" spans="2:20" x14ac:dyDescent="0.4">
      <c r="B65" s="6" t="s">
        <v>140</v>
      </c>
      <c r="C65" s="20" t="s">
        <v>141</v>
      </c>
      <c r="D65" s="17">
        <f>VLOOKUP(B65,BS!$A:$S,18,FALSE)-VLOOKUP(B65,BS!$A:$S,$C$1+5,FALSE)-VLOOKUP(B65,BS!$A:$S,$C$1+4,FALSE)</f>
        <v>0</v>
      </c>
      <c r="E65" s="17">
        <f>VLOOKUP(B65,BS!$A:$S,18,FALSE)-VLOOKUP(B65,BS!$A:$S,$C$1+5,FALSE)</f>
        <v>0</v>
      </c>
      <c r="F65" s="17">
        <f>VLOOKUP(B65,BS!$A:$S,18,FALSE)</f>
        <v>0</v>
      </c>
      <c r="G65" s="18">
        <f t="shared" si="0"/>
        <v>0</v>
      </c>
      <c r="H65" s="19">
        <f t="shared" si="1"/>
        <v>0</v>
      </c>
      <c r="I65" s="18">
        <f t="shared" si="2"/>
        <v>0</v>
      </c>
      <c r="J65" s="19">
        <f t="shared" si="3"/>
        <v>0</v>
      </c>
      <c r="L65" s="6" t="s">
        <v>538</v>
      </c>
      <c r="M65" s="20" t="s">
        <v>539</v>
      </c>
      <c r="N65" s="17">
        <f>VLOOKUP(L65,PL!$A:$S,$C$1+3,FALSE)</f>
        <v>0</v>
      </c>
      <c r="O65" s="17">
        <f>VLOOKUP(L65,PL!$A:$S,$C$1+4,FALSE)</f>
        <v>0</v>
      </c>
      <c r="P65" s="17">
        <f>VLOOKUP(L65,PL!$A:$S,$C$1+5,FALSE)</f>
        <v>0</v>
      </c>
      <c r="Q65" s="18">
        <f t="shared" si="4"/>
        <v>0</v>
      </c>
      <c r="R65" s="19">
        <f t="shared" si="5"/>
        <v>0</v>
      </c>
      <c r="S65" s="18">
        <f t="shared" si="6"/>
        <v>0</v>
      </c>
      <c r="T65" s="19">
        <f t="shared" si="7"/>
        <v>0</v>
      </c>
    </row>
    <row r="66" spans="2:20" x14ac:dyDescent="0.4">
      <c r="B66" s="6" t="s">
        <v>142</v>
      </c>
      <c r="C66" s="20" t="s">
        <v>143</v>
      </c>
      <c r="D66" s="17">
        <f>VLOOKUP(B66,BS!$A:$S,18,FALSE)-VLOOKUP(B66,BS!$A:$S,$C$1+5,FALSE)-VLOOKUP(B66,BS!$A:$S,$C$1+4,FALSE)</f>
        <v>0</v>
      </c>
      <c r="E66" s="17">
        <f>VLOOKUP(B66,BS!$A:$S,18,FALSE)-VLOOKUP(B66,BS!$A:$S,$C$1+5,FALSE)</f>
        <v>0</v>
      </c>
      <c r="F66" s="17">
        <f>VLOOKUP(B66,BS!$A:$S,18,FALSE)</f>
        <v>0</v>
      </c>
      <c r="G66" s="18">
        <f t="shared" si="0"/>
        <v>0</v>
      </c>
      <c r="H66" s="19">
        <f t="shared" si="1"/>
        <v>0</v>
      </c>
      <c r="I66" s="18">
        <f t="shared" si="2"/>
        <v>0</v>
      </c>
      <c r="J66" s="19">
        <f t="shared" si="3"/>
        <v>0</v>
      </c>
      <c r="L66" s="6" t="s">
        <v>540</v>
      </c>
      <c r="M66" s="20" t="s">
        <v>541</v>
      </c>
      <c r="N66" s="17">
        <f>VLOOKUP(L66,PL!$A:$S,$C$1+3,FALSE)</f>
        <v>0</v>
      </c>
      <c r="O66" s="17">
        <f>VLOOKUP(L66,PL!$A:$S,$C$1+4,FALSE)</f>
        <v>0</v>
      </c>
      <c r="P66" s="17">
        <f>VLOOKUP(L66,PL!$A:$S,$C$1+5,FALSE)</f>
        <v>0</v>
      </c>
      <c r="Q66" s="18">
        <f t="shared" si="4"/>
        <v>0</v>
      </c>
      <c r="R66" s="19">
        <f t="shared" si="5"/>
        <v>0</v>
      </c>
      <c r="S66" s="18">
        <f t="shared" si="6"/>
        <v>0</v>
      </c>
      <c r="T66" s="19">
        <f t="shared" si="7"/>
        <v>0</v>
      </c>
    </row>
    <row r="67" spans="2:20" x14ac:dyDescent="0.4">
      <c r="B67" s="15" t="s">
        <v>144</v>
      </c>
      <c r="C67" s="16" t="s">
        <v>145</v>
      </c>
      <c r="D67" s="17">
        <f>VLOOKUP(B67,BS!$A:$S,18,FALSE)-VLOOKUP(B67,BS!$A:$S,$C$1+5,FALSE)-VLOOKUP(B67,BS!$A:$S,$C$1+4,FALSE)</f>
        <v>1358074013.4499998</v>
      </c>
      <c r="E67" s="17">
        <f>VLOOKUP(B67,BS!$A:$S,18,FALSE)-VLOOKUP(B67,BS!$A:$S,$C$1+5,FALSE)</f>
        <v>1360062792.4499998</v>
      </c>
      <c r="F67" s="17">
        <f>VLOOKUP(B67,BS!$A:$S,18,FALSE)</f>
        <v>5895515254.8800001</v>
      </c>
      <c r="G67" s="18">
        <f t="shared" si="0"/>
        <v>1988779</v>
      </c>
      <c r="H67" s="19">
        <f t="shared" si="1"/>
        <v>1.4644113504151228E-3</v>
      </c>
      <c r="I67" s="18">
        <f t="shared" si="2"/>
        <v>4535452462.4300003</v>
      </c>
      <c r="J67" s="19">
        <f t="shared" si="3"/>
        <v>3.334737548595013</v>
      </c>
      <c r="L67" s="6" t="s">
        <v>542</v>
      </c>
      <c r="M67" s="20" t="s">
        <v>543</v>
      </c>
      <c r="N67" s="17">
        <f>VLOOKUP(L67,PL!$A:$S,$C$1+3,FALSE)</f>
        <v>0</v>
      </c>
      <c r="O67" s="17">
        <f>VLOOKUP(L67,PL!$A:$S,$C$1+4,FALSE)</f>
        <v>0</v>
      </c>
      <c r="P67" s="17">
        <f>VLOOKUP(L67,PL!$A:$S,$C$1+5,FALSE)</f>
        <v>0</v>
      </c>
      <c r="Q67" s="18">
        <f t="shared" si="4"/>
        <v>0</v>
      </c>
      <c r="R67" s="19">
        <f t="shared" si="5"/>
        <v>0</v>
      </c>
      <c r="S67" s="18">
        <f t="shared" si="6"/>
        <v>0</v>
      </c>
      <c r="T67" s="19">
        <f t="shared" si="7"/>
        <v>0</v>
      </c>
    </row>
    <row r="68" spans="2:20" x14ac:dyDescent="0.4">
      <c r="B68" s="6" t="s">
        <v>146</v>
      </c>
      <c r="C68" s="20" t="s">
        <v>147</v>
      </c>
      <c r="D68" s="17">
        <f>VLOOKUP(B68,BS!$A:$S,18,FALSE)-VLOOKUP(B68,BS!$A:$S,$C$1+5,FALSE)-VLOOKUP(B68,BS!$A:$S,$C$1+4,FALSE)</f>
        <v>0</v>
      </c>
      <c r="E68" s="17">
        <f>VLOOKUP(B68,BS!$A:$S,18,FALSE)-VLOOKUP(B68,BS!$A:$S,$C$1+5,FALSE)</f>
        <v>0</v>
      </c>
      <c r="F68" s="17">
        <f>VLOOKUP(B68,BS!$A:$S,18,FALSE)</f>
        <v>0</v>
      </c>
      <c r="G68" s="18">
        <f t="shared" si="0"/>
        <v>0</v>
      </c>
      <c r="H68" s="19">
        <f t="shared" si="1"/>
        <v>0</v>
      </c>
      <c r="I68" s="18">
        <f t="shared" si="2"/>
        <v>0</v>
      </c>
      <c r="J68" s="19">
        <f t="shared" si="3"/>
        <v>0</v>
      </c>
      <c r="L68" s="6" t="s">
        <v>544</v>
      </c>
      <c r="M68" s="20" t="s">
        <v>545</v>
      </c>
      <c r="N68" s="17">
        <f>VLOOKUP(L68,PL!$A:$S,$C$1+3,FALSE)</f>
        <v>0</v>
      </c>
      <c r="O68" s="17">
        <f>VLOOKUP(L68,PL!$A:$S,$C$1+4,FALSE)</f>
        <v>0</v>
      </c>
      <c r="P68" s="17">
        <f>VLOOKUP(L68,PL!$A:$S,$C$1+5,FALSE)</f>
        <v>0</v>
      </c>
      <c r="Q68" s="18">
        <f t="shared" si="4"/>
        <v>0</v>
      </c>
      <c r="R68" s="19">
        <f t="shared" si="5"/>
        <v>0</v>
      </c>
      <c r="S68" s="18">
        <f t="shared" si="6"/>
        <v>0</v>
      </c>
      <c r="T68" s="19">
        <f t="shared" si="7"/>
        <v>0</v>
      </c>
    </row>
    <row r="69" spans="2:20" x14ac:dyDescent="0.4">
      <c r="B69" s="6" t="s">
        <v>148</v>
      </c>
      <c r="C69" s="20" t="s">
        <v>149</v>
      </c>
      <c r="D69" s="17">
        <f>VLOOKUP(B69,BS!$A:$S,18,FALSE)-VLOOKUP(B69,BS!$A:$S,$C$1+5,FALSE)-VLOOKUP(B69,BS!$A:$S,$C$1+4,FALSE)</f>
        <v>0</v>
      </c>
      <c r="E69" s="17">
        <f>VLOOKUP(B69,BS!$A:$S,18,FALSE)-VLOOKUP(B69,BS!$A:$S,$C$1+5,FALSE)</f>
        <v>0</v>
      </c>
      <c r="F69" s="17">
        <f>VLOOKUP(B69,BS!$A:$S,18,FALSE)</f>
        <v>0</v>
      </c>
      <c r="G69" s="18">
        <f t="shared" ref="G69:G132" si="22">E69-D69</f>
        <v>0</v>
      </c>
      <c r="H69" s="19">
        <f t="shared" ref="H69:H132" si="23">IFERROR(G69/D69,0)</f>
        <v>0</v>
      </c>
      <c r="I69" s="18">
        <f t="shared" ref="I69:I132" si="24">F69-E69</f>
        <v>0</v>
      </c>
      <c r="J69" s="19">
        <f t="shared" ref="J69:J132" si="25">IFERROR(I69/E69,0)</f>
        <v>0</v>
      </c>
      <c r="L69" s="6" t="s">
        <v>546</v>
      </c>
      <c r="M69" s="20" t="s">
        <v>547</v>
      </c>
      <c r="N69" s="17">
        <f>VLOOKUP(L69,PL!$A:$S,$C$1+3,FALSE)</f>
        <v>8660191</v>
      </c>
      <c r="O69" s="17">
        <f>VLOOKUP(L69,PL!$A:$S,$C$1+4,FALSE)</f>
        <v>7277418.7000000002</v>
      </c>
      <c r="P69" s="17">
        <f>VLOOKUP(L69,PL!$A:$S,$C$1+5,FALSE)</f>
        <v>28336237.300000001</v>
      </c>
      <c r="Q69" s="18">
        <f t="shared" si="4"/>
        <v>-1382772.2999999998</v>
      </c>
      <c r="R69" s="19">
        <f t="shared" si="5"/>
        <v>-0.15966995416151905</v>
      </c>
      <c r="S69" s="18">
        <f t="shared" si="6"/>
        <v>21058818.600000001</v>
      </c>
      <c r="T69" s="19">
        <f t="shared" si="7"/>
        <v>2.893720901341021</v>
      </c>
    </row>
    <row r="70" spans="2:20" x14ac:dyDescent="0.4">
      <c r="B70" s="6" t="s">
        <v>150</v>
      </c>
      <c r="C70" s="20" t="s">
        <v>151</v>
      </c>
      <c r="D70" s="17">
        <f>VLOOKUP(B70,BS!$A:$S,18,FALSE)-VLOOKUP(B70,BS!$A:$S,$C$1+5,FALSE)-VLOOKUP(B70,BS!$A:$S,$C$1+4,FALSE)</f>
        <v>0</v>
      </c>
      <c r="E70" s="17">
        <f>VLOOKUP(B70,BS!$A:$S,18,FALSE)-VLOOKUP(B70,BS!$A:$S,$C$1+5,FALSE)</f>
        <v>0</v>
      </c>
      <c r="F70" s="17">
        <f>VLOOKUP(B70,BS!$A:$S,18,FALSE)</f>
        <v>0</v>
      </c>
      <c r="G70" s="18">
        <f t="shared" si="22"/>
        <v>0</v>
      </c>
      <c r="H70" s="19">
        <f t="shared" si="23"/>
        <v>0</v>
      </c>
      <c r="I70" s="18">
        <f t="shared" si="24"/>
        <v>0</v>
      </c>
      <c r="J70" s="19">
        <f t="shared" si="25"/>
        <v>0</v>
      </c>
      <c r="L70" s="6" t="s">
        <v>548</v>
      </c>
      <c r="M70" s="20" t="s">
        <v>549</v>
      </c>
      <c r="N70" s="17">
        <f>VLOOKUP(L70,PL!$A:$S,$C$1+3,FALSE)</f>
        <v>0</v>
      </c>
      <c r="O70" s="17">
        <f>VLOOKUP(L70,PL!$A:$S,$C$1+4,FALSE)</f>
        <v>0</v>
      </c>
      <c r="P70" s="17">
        <f>VLOOKUP(L70,PL!$A:$S,$C$1+5,FALSE)</f>
        <v>0</v>
      </c>
      <c r="Q70" s="18">
        <f t="shared" si="4"/>
        <v>0</v>
      </c>
      <c r="R70" s="19">
        <f t="shared" si="5"/>
        <v>0</v>
      </c>
      <c r="S70" s="18">
        <f t="shared" si="6"/>
        <v>0</v>
      </c>
      <c r="T70" s="19">
        <f t="shared" si="7"/>
        <v>0</v>
      </c>
    </row>
    <row r="71" spans="2:20" x14ac:dyDescent="0.4">
      <c r="B71" s="6" t="s">
        <v>152</v>
      </c>
      <c r="C71" s="20" t="s">
        <v>153</v>
      </c>
      <c r="D71" s="17">
        <f>VLOOKUP(B71,BS!$A:$S,18,FALSE)-VLOOKUP(B71,BS!$A:$S,$C$1+5,FALSE)-VLOOKUP(B71,BS!$A:$S,$C$1+4,FALSE)</f>
        <v>0</v>
      </c>
      <c r="E71" s="17">
        <f>VLOOKUP(B71,BS!$A:$S,18,FALSE)-VLOOKUP(B71,BS!$A:$S,$C$1+5,FALSE)</f>
        <v>0</v>
      </c>
      <c r="F71" s="17">
        <f>VLOOKUP(B71,BS!$A:$S,18,FALSE)</f>
        <v>0</v>
      </c>
      <c r="G71" s="18">
        <f t="shared" si="22"/>
        <v>0</v>
      </c>
      <c r="H71" s="19">
        <f t="shared" si="23"/>
        <v>0</v>
      </c>
      <c r="I71" s="18">
        <f t="shared" si="24"/>
        <v>0</v>
      </c>
      <c r="J71" s="19">
        <f t="shared" si="25"/>
        <v>0</v>
      </c>
      <c r="L71" s="6" t="s">
        <v>550</v>
      </c>
      <c r="M71" s="20" t="s">
        <v>551</v>
      </c>
      <c r="N71" s="17">
        <f>VLOOKUP(L71,PL!$A:$S,$C$1+3,FALSE)</f>
        <v>0</v>
      </c>
      <c r="O71" s="17">
        <f>VLOOKUP(L71,PL!$A:$S,$C$1+4,FALSE)</f>
        <v>0</v>
      </c>
      <c r="P71" s="17">
        <f>VLOOKUP(L71,PL!$A:$S,$C$1+5,FALSE)</f>
        <v>0</v>
      </c>
      <c r="Q71" s="18">
        <f t="shared" si="4"/>
        <v>0</v>
      </c>
      <c r="R71" s="19">
        <f t="shared" si="5"/>
        <v>0</v>
      </c>
      <c r="S71" s="18">
        <f t="shared" si="6"/>
        <v>0</v>
      </c>
      <c r="T71" s="19">
        <f t="shared" si="7"/>
        <v>0</v>
      </c>
    </row>
    <row r="72" spans="2:20" x14ac:dyDescent="0.4">
      <c r="B72" s="6" t="s">
        <v>154</v>
      </c>
      <c r="C72" s="20" t="s">
        <v>155</v>
      </c>
      <c r="D72" s="17">
        <f>VLOOKUP(B72,BS!$A:$S,18,FALSE)-VLOOKUP(B72,BS!$A:$S,$C$1+5,FALSE)-VLOOKUP(B72,BS!$A:$S,$C$1+4,FALSE)</f>
        <v>0</v>
      </c>
      <c r="E72" s="17">
        <f>VLOOKUP(B72,BS!$A:$S,18,FALSE)-VLOOKUP(B72,BS!$A:$S,$C$1+5,FALSE)</f>
        <v>0</v>
      </c>
      <c r="F72" s="17">
        <f>VLOOKUP(B72,BS!$A:$S,18,FALSE)</f>
        <v>0</v>
      </c>
      <c r="G72" s="18">
        <f t="shared" si="22"/>
        <v>0</v>
      </c>
      <c r="H72" s="19">
        <f t="shared" si="23"/>
        <v>0</v>
      </c>
      <c r="I72" s="18">
        <f t="shared" si="24"/>
        <v>0</v>
      </c>
      <c r="J72" s="19">
        <f t="shared" si="25"/>
        <v>0</v>
      </c>
      <c r="L72" s="6" t="s">
        <v>552</v>
      </c>
      <c r="M72" s="20" t="s">
        <v>553</v>
      </c>
      <c r="N72" s="17">
        <f>VLOOKUP(L72,PL!$A:$S,$C$1+3,FALSE)</f>
        <v>0</v>
      </c>
      <c r="O72" s="17">
        <f>VLOOKUP(L72,PL!$A:$S,$C$1+4,FALSE)</f>
        <v>0</v>
      </c>
      <c r="P72" s="17">
        <f>VLOOKUP(L72,PL!$A:$S,$C$1+5,FALSE)</f>
        <v>102997</v>
      </c>
      <c r="Q72" s="18">
        <f t="shared" ref="Q72:Q136" si="26">O72-N72</f>
        <v>0</v>
      </c>
      <c r="R72" s="19">
        <f t="shared" ref="R72:R136" si="27">IFERROR(Q72/N72,0)</f>
        <v>0</v>
      </c>
      <c r="S72" s="18">
        <f t="shared" ref="S72:S136" si="28">P72-O72</f>
        <v>102997</v>
      </c>
      <c r="T72" s="19">
        <f t="shared" ref="T72:T136" si="29">IFERROR(S72/O72,0)</f>
        <v>0</v>
      </c>
    </row>
    <row r="73" spans="2:20" x14ac:dyDescent="0.4">
      <c r="B73" s="6" t="s">
        <v>156</v>
      </c>
      <c r="C73" s="20" t="s">
        <v>157</v>
      </c>
      <c r="D73" s="17">
        <f>VLOOKUP(B73,BS!$A:$S,18,FALSE)-VLOOKUP(B73,BS!$A:$S,$C$1+5,FALSE)-VLOOKUP(B73,BS!$A:$S,$C$1+4,FALSE)</f>
        <v>0</v>
      </c>
      <c r="E73" s="17">
        <f>VLOOKUP(B73,BS!$A:$S,18,FALSE)-VLOOKUP(B73,BS!$A:$S,$C$1+5,FALSE)</f>
        <v>0</v>
      </c>
      <c r="F73" s="17">
        <f>VLOOKUP(B73,BS!$A:$S,18,FALSE)</f>
        <v>0</v>
      </c>
      <c r="G73" s="18">
        <f t="shared" si="22"/>
        <v>0</v>
      </c>
      <c r="H73" s="19">
        <f t="shared" si="23"/>
        <v>0</v>
      </c>
      <c r="I73" s="18">
        <f t="shared" si="24"/>
        <v>0</v>
      </c>
      <c r="J73" s="19">
        <f t="shared" si="25"/>
        <v>0</v>
      </c>
      <c r="L73" s="6" t="s">
        <v>554</v>
      </c>
      <c r="M73" s="20" t="s">
        <v>555</v>
      </c>
      <c r="N73" s="17">
        <f>VLOOKUP(L73,PL!$A:$S,$C$1+3,FALSE)</f>
        <v>0</v>
      </c>
      <c r="O73" s="17">
        <f>VLOOKUP(L73,PL!$A:$S,$C$1+4,FALSE)</f>
        <v>0</v>
      </c>
      <c r="P73" s="17">
        <f>VLOOKUP(L73,PL!$A:$S,$C$1+5,FALSE)</f>
        <v>0</v>
      </c>
      <c r="Q73" s="18">
        <f t="shared" si="26"/>
        <v>0</v>
      </c>
      <c r="R73" s="19">
        <f t="shared" si="27"/>
        <v>0</v>
      </c>
      <c r="S73" s="18">
        <f t="shared" si="28"/>
        <v>0</v>
      </c>
      <c r="T73" s="19">
        <f t="shared" si="29"/>
        <v>0</v>
      </c>
    </row>
    <row r="74" spans="2:20" x14ac:dyDescent="0.4">
      <c r="B74" s="6" t="s">
        <v>158</v>
      </c>
      <c r="C74" s="20" t="s">
        <v>159</v>
      </c>
      <c r="D74" s="17">
        <f>VLOOKUP(B74,BS!$A:$S,18,FALSE)-VLOOKUP(B74,BS!$A:$S,$C$1+5,FALSE)-VLOOKUP(B74,BS!$A:$S,$C$1+4,FALSE)</f>
        <v>0</v>
      </c>
      <c r="E74" s="17">
        <f>VLOOKUP(B74,BS!$A:$S,18,FALSE)-VLOOKUP(B74,BS!$A:$S,$C$1+5,FALSE)</f>
        <v>0</v>
      </c>
      <c r="F74" s="17">
        <f>VLOOKUP(B74,BS!$A:$S,18,FALSE)</f>
        <v>0</v>
      </c>
      <c r="G74" s="18">
        <f t="shared" si="22"/>
        <v>0</v>
      </c>
      <c r="H74" s="19">
        <f t="shared" si="23"/>
        <v>0</v>
      </c>
      <c r="I74" s="18">
        <f t="shared" si="24"/>
        <v>0</v>
      </c>
      <c r="J74" s="19">
        <f t="shared" si="25"/>
        <v>0</v>
      </c>
      <c r="L74" s="6" t="s">
        <v>556</v>
      </c>
      <c r="M74" s="20" t="s">
        <v>557</v>
      </c>
      <c r="N74" s="17">
        <f>VLOOKUP(L74,PL!$A:$S,$C$1+3,FALSE)</f>
        <v>0</v>
      </c>
      <c r="O74" s="17">
        <f>VLOOKUP(L74,PL!$A:$S,$C$1+4,FALSE)</f>
        <v>0</v>
      </c>
      <c r="P74" s="17">
        <f>VLOOKUP(L74,PL!$A:$S,$C$1+5,FALSE)</f>
        <v>0</v>
      </c>
      <c r="Q74" s="18">
        <f t="shared" ref="Q74" si="30">O74-N74</f>
        <v>0</v>
      </c>
      <c r="R74" s="19">
        <f t="shared" ref="R74" si="31">IFERROR(Q74/N74,0)</f>
        <v>0</v>
      </c>
      <c r="S74" s="18">
        <f t="shared" ref="S74" si="32">P74-O74</f>
        <v>0</v>
      </c>
      <c r="T74" s="19">
        <f t="shared" ref="T74" si="33">IFERROR(S74/O74,0)</f>
        <v>0</v>
      </c>
    </row>
    <row r="75" spans="2:20" x14ac:dyDescent="0.4">
      <c r="B75" s="6" t="s">
        <v>160</v>
      </c>
      <c r="C75" s="20" t="s">
        <v>161</v>
      </c>
      <c r="D75" s="17">
        <f>VLOOKUP(B75,BS!$A:$S,18,FALSE)-VLOOKUP(B75,BS!$A:$S,$C$1+5,FALSE)-VLOOKUP(B75,BS!$A:$S,$C$1+4,FALSE)</f>
        <v>0</v>
      </c>
      <c r="E75" s="17">
        <f>VLOOKUP(B75,BS!$A:$S,18,FALSE)-VLOOKUP(B75,BS!$A:$S,$C$1+5,FALSE)</f>
        <v>0</v>
      </c>
      <c r="F75" s="17">
        <f>VLOOKUP(B75,BS!$A:$S,18,FALSE)</f>
        <v>0</v>
      </c>
      <c r="G75" s="18">
        <f t="shared" si="22"/>
        <v>0</v>
      </c>
      <c r="H75" s="19">
        <f t="shared" si="23"/>
        <v>0</v>
      </c>
      <c r="I75" s="18">
        <f t="shared" si="24"/>
        <v>0</v>
      </c>
      <c r="J75" s="19">
        <f t="shared" si="25"/>
        <v>0</v>
      </c>
      <c r="L75" s="6" t="s">
        <v>723</v>
      </c>
      <c r="M75" s="20" t="s">
        <v>724</v>
      </c>
      <c r="N75" s="17">
        <f>VLOOKUP(L75,PL!$A:$S,$C$1+3,FALSE)</f>
        <v>0</v>
      </c>
      <c r="O75" s="17">
        <f>VLOOKUP(L75,PL!$A:$S,$C$1+4,FALSE)</f>
        <v>0</v>
      </c>
      <c r="P75" s="17">
        <f>VLOOKUP(L75,PL!$A:$S,$C$1+5,FALSE)</f>
        <v>0</v>
      </c>
      <c r="Q75" s="18">
        <f t="shared" si="26"/>
        <v>0</v>
      </c>
      <c r="R75" s="19">
        <f t="shared" si="27"/>
        <v>0</v>
      </c>
      <c r="S75" s="18">
        <f t="shared" si="28"/>
        <v>0</v>
      </c>
      <c r="T75" s="19">
        <f t="shared" si="29"/>
        <v>0</v>
      </c>
    </row>
    <row r="76" spans="2:20" x14ac:dyDescent="0.4">
      <c r="B76" s="6" t="s">
        <v>162</v>
      </c>
      <c r="C76" s="20" t="s">
        <v>163</v>
      </c>
      <c r="D76" s="17">
        <f>VLOOKUP(B76,BS!$A:$S,18,FALSE)-VLOOKUP(B76,BS!$A:$S,$C$1+5,FALSE)-VLOOKUP(B76,BS!$A:$S,$C$1+4,FALSE)</f>
        <v>0</v>
      </c>
      <c r="E76" s="17">
        <f>VLOOKUP(B76,BS!$A:$S,18,FALSE)-VLOOKUP(B76,BS!$A:$S,$C$1+5,FALSE)</f>
        <v>0</v>
      </c>
      <c r="F76" s="17">
        <f>VLOOKUP(B76,BS!$A:$S,18,FALSE)</f>
        <v>0</v>
      </c>
      <c r="G76" s="18">
        <f t="shared" si="22"/>
        <v>0</v>
      </c>
      <c r="H76" s="19">
        <f t="shared" si="23"/>
        <v>0</v>
      </c>
      <c r="I76" s="18">
        <f t="shared" si="24"/>
        <v>0</v>
      </c>
      <c r="J76" s="19">
        <f t="shared" si="25"/>
        <v>0</v>
      </c>
      <c r="L76" s="15" t="s">
        <v>558</v>
      </c>
      <c r="M76" s="16" t="s">
        <v>559</v>
      </c>
      <c r="N76" s="17">
        <f>VLOOKUP(L76,PL!$A:$S,$C$1+3,FALSE)</f>
        <v>217492133.93000001</v>
      </c>
      <c r="O76" s="17">
        <f>VLOOKUP(L76,PL!$A:$S,$C$1+4,FALSE)</f>
        <v>5082873.01</v>
      </c>
      <c r="P76" s="17">
        <f>VLOOKUP(L76,PL!$A:$S,$C$1+5,FALSE)</f>
        <v>-211468936.63</v>
      </c>
      <c r="Q76" s="18">
        <f t="shared" si="26"/>
        <v>-212409260.92000002</v>
      </c>
      <c r="R76" s="19">
        <f t="shared" si="27"/>
        <v>-0.97662962371027218</v>
      </c>
      <c r="S76" s="18">
        <f t="shared" si="28"/>
        <v>-216551809.63999999</v>
      </c>
      <c r="T76" s="19">
        <f t="shared" si="29"/>
        <v>-42.604214036816941</v>
      </c>
    </row>
    <row r="77" spans="2:20" x14ac:dyDescent="0.4">
      <c r="B77" s="6" t="s">
        <v>164</v>
      </c>
      <c r="C77" s="20" t="s">
        <v>165</v>
      </c>
      <c r="D77" s="17">
        <f>VLOOKUP(B77,BS!$A:$S,18,FALSE)-VLOOKUP(B77,BS!$A:$S,$C$1+5,FALSE)-VLOOKUP(B77,BS!$A:$S,$C$1+4,FALSE)</f>
        <v>0</v>
      </c>
      <c r="E77" s="17">
        <f>VLOOKUP(B77,BS!$A:$S,18,FALSE)-VLOOKUP(B77,BS!$A:$S,$C$1+5,FALSE)</f>
        <v>0</v>
      </c>
      <c r="F77" s="17">
        <f>VLOOKUP(B77,BS!$A:$S,18,FALSE)</f>
        <v>0</v>
      </c>
      <c r="G77" s="18">
        <f t="shared" si="22"/>
        <v>0</v>
      </c>
      <c r="H77" s="19">
        <f t="shared" si="23"/>
        <v>0</v>
      </c>
      <c r="I77" s="18">
        <f t="shared" si="24"/>
        <v>0</v>
      </c>
      <c r="J77" s="19">
        <f t="shared" si="25"/>
        <v>0</v>
      </c>
      <c r="L77" s="15" t="s">
        <v>560</v>
      </c>
      <c r="M77" s="16" t="s">
        <v>561</v>
      </c>
      <c r="N77" s="17">
        <f>VLOOKUP(L77,PL!$A:$S,$C$1+3,FALSE)</f>
        <v>257451884.55000001</v>
      </c>
      <c r="O77" s="17">
        <f>VLOOKUP(L77,PL!$A:$S,$C$1+4,FALSE)</f>
        <v>739093732.89999998</v>
      </c>
      <c r="P77" s="17">
        <f>VLOOKUP(L77,PL!$A:$S,$C$1+5,FALSE)</f>
        <v>279778492.01999998</v>
      </c>
      <c r="Q77" s="18">
        <f t="shared" si="26"/>
        <v>481641848.34999996</v>
      </c>
      <c r="R77" s="19">
        <f t="shared" si="27"/>
        <v>1.870803351048921</v>
      </c>
      <c r="S77" s="18">
        <f t="shared" si="28"/>
        <v>-459315240.88</v>
      </c>
      <c r="T77" s="19">
        <f t="shared" si="29"/>
        <v>-0.62145736113574346</v>
      </c>
    </row>
    <row r="78" spans="2:20" x14ac:dyDescent="0.4">
      <c r="B78" s="6" t="s">
        <v>166</v>
      </c>
      <c r="C78" s="20" t="s">
        <v>167</v>
      </c>
      <c r="D78" s="17">
        <f>VLOOKUP(B78,BS!$A:$S,18,FALSE)-VLOOKUP(B78,BS!$A:$S,$C$1+5,FALSE)-VLOOKUP(B78,BS!$A:$S,$C$1+4,FALSE)</f>
        <v>571096500</v>
      </c>
      <c r="E78" s="17">
        <f>VLOOKUP(B78,BS!$A:$S,18,FALSE)-VLOOKUP(B78,BS!$A:$S,$C$1+5,FALSE)</f>
        <v>571096500</v>
      </c>
      <c r="F78" s="17">
        <f>VLOOKUP(B78,BS!$A:$S,18,FALSE)</f>
        <v>571096500</v>
      </c>
      <c r="G78" s="18">
        <f t="shared" si="22"/>
        <v>0</v>
      </c>
      <c r="H78" s="19">
        <f t="shared" si="23"/>
        <v>0</v>
      </c>
      <c r="I78" s="18">
        <f t="shared" si="24"/>
        <v>0</v>
      </c>
      <c r="J78" s="19">
        <f t="shared" si="25"/>
        <v>0</v>
      </c>
      <c r="L78" s="6" t="s">
        <v>562</v>
      </c>
      <c r="M78" s="20" t="s">
        <v>563</v>
      </c>
      <c r="N78" s="17">
        <f>VLOOKUP(L78,PL!$A:$S,$C$1+3,FALSE)</f>
        <v>0</v>
      </c>
      <c r="O78" s="17">
        <f>VLOOKUP(L78,PL!$A:$S,$C$1+4,FALSE)</f>
        <v>0</v>
      </c>
      <c r="P78" s="17">
        <f>VLOOKUP(L78,PL!$A:$S,$C$1+5,FALSE)</f>
        <v>0</v>
      </c>
      <c r="Q78" s="18">
        <f t="shared" si="26"/>
        <v>0</v>
      </c>
      <c r="R78" s="19">
        <f t="shared" si="27"/>
        <v>0</v>
      </c>
      <c r="S78" s="18">
        <f t="shared" si="28"/>
        <v>0</v>
      </c>
      <c r="T78" s="19">
        <f t="shared" si="29"/>
        <v>0</v>
      </c>
    </row>
    <row r="79" spans="2:20" x14ac:dyDescent="0.4">
      <c r="B79" s="6" t="s">
        <v>168</v>
      </c>
      <c r="C79" s="20" t="s">
        <v>169</v>
      </c>
      <c r="D79" s="17">
        <f>VLOOKUP(B79,BS!$A:$S,18,FALSE)-VLOOKUP(B79,BS!$A:$S,$C$1+5,FALSE)-VLOOKUP(B79,BS!$A:$S,$C$1+4,FALSE)</f>
        <v>-317474969.18000001</v>
      </c>
      <c r="E79" s="17">
        <f>VLOOKUP(B79,BS!$A:$S,18,FALSE)-VLOOKUP(B79,BS!$A:$S,$C$1+5,FALSE)</f>
        <v>-327606471.56</v>
      </c>
      <c r="F79" s="17">
        <f>VLOOKUP(B79,BS!$A:$S,18,FALSE)</f>
        <v>-337737973.94</v>
      </c>
      <c r="G79" s="18">
        <f t="shared" si="22"/>
        <v>-10131502.379999995</v>
      </c>
      <c r="H79" s="19">
        <f t="shared" si="23"/>
        <v>3.1912759630053536E-2</v>
      </c>
      <c r="I79" s="18">
        <f t="shared" si="24"/>
        <v>-10131502.379999995</v>
      </c>
      <c r="J79" s="19">
        <f t="shared" si="25"/>
        <v>3.0925831018403571E-2</v>
      </c>
      <c r="L79" s="6" t="s">
        <v>564</v>
      </c>
      <c r="M79" s="20" t="s">
        <v>565</v>
      </c>
      <c r="N79" s="17">
        <f>VLOOKUP(L79,PL!$A:$S,$C$1+3,FALSE)</f>
        <v>0</v>
      </c>
      <c r="O79" s="17">
        <f>VLOOKUP(L79,PL!$A:$S,$C$1+4,FALSE)</f>
        <v>0</v>
      </c>
      <c r="P79" s="17">
        <f>VLOOKUP(L79,PL!$A:$S,$C$1+5,FALSE)</f>
        <v>0</v>
      </c>
      <c r="Q79" s="18">
        <f t="shared" si="26"/>
        <v>0</v>
      </c>
      <c r="R79" s="19">
        <f t="shared" si="27"/>
        <v>0</v>
      </c>
      <c r="S79" s="18">
        <f t="shared" si="28"/>
        <v>0</v>
      </c>
      <c r="T79" s="19">
        <f t="shared" si="29"/>
        <v>0</v>
      </c>
    </row>
    <row r="80" spans="2:20" x14ac:dyDescent="0.4">
      <c r="B80" s="6" t="s">
        <v>170</v>
      </c>
      <c r="C80" s="20" t="s">
        <v>171</v>
      </c>
      <c r="D80" s="17">
        <f>VLOOKUP(B80,BS!$A:$S,18,FALSE)-VLOOKUP(B80,BS!$A:$S,$C$1+5,FALSE)-VLOOKUP(B80,BS!$A:$S,$C$1+4,FALSE)</f>
        <v>0</v>
      </c>
      <c r="E80" s="17">
        <f>VLOOKUP(B80,BS!$A:$S,18,FALSE)-VLOOKUP(B80,BS!$A:$S,$C$1+5,FALSE)</f>
        <v>0</v>
      </c>
      <c r="F80" s="17">
        <f>VLOOKUP(B80,BS!$A:$S,18,FALSE)</f>
        <v>0</v>
      </c>
      <c r="G80" s="18">
        <f t="shared" si="22"/>
        <v>0</v>
      </c>
      <c r="H80" s="19">
        <f t="shared" si="23"/>
        <v>0</v>
      </c>
      <c r="I80" s="18">
        <f t="shared" si="24"/>
        <v>0</v>
      </c>
      <c r="J80" s="19">
        <f t="shared" si="25"/>
        <v>0</v>
      </c>
      <c r="L80" s="6" t="s">
        <v>566</v>
      </c>
      <c r="M80" s="20" t="s">
        <v>567</v>
      </c>
      <c r="N80" s="17">
        <f>VLOOKUP(L80,PL!$A:$S,$C$1+3,FALSE)</f>
        <v>0</v>
      </c>
      <c r="O80" s="17">
        <f>VLOOKUP(L80,PL!$A:$S,$C$1+4,FALSE)</f>
        <v>0</v>
      </c>
      <c r="P80" s="17">
        <f>VLOOKUP(L80,PL!$A:$S,$C$1+5,FALSE)</f>
        <v>0</v>
      </c>
      <c r="Q80" s="18">
        <f t="shared" si="26"/>
        <v>0</v>
      </c>
      <c r="R80" s="19">
        <f t="shared" si="27"/>
        <v>0</v>
      </c>
      <c r="S80" s="18">
        <f t="shared" si="28"/>
        <v>0</v>
      </c>
      <c r="T80" s="19">
        <f t="shared" si="29"/>
        <v>0</v>
      </c>
    </row>
    <row r="81" spans="2:20" x14ac:dyDescent="0.4">
      <c r="B81" s="6" t="s">
        <v>172</v>
      </c>
      <c r="C81" s="20" t="s">
        <v>173</v>
      </c>
      <c r="D81" s="17">
        <f>VLOOKUP(B81,BS!$A:$S,18,FALSE)-VLOOKUP(B81,BS!$A:$S,$C$1+5,FALSE)-VLOOKUP(B81,BS!$A:$S,$C$1+4,FALSE)</f>
        <v>0</v>
      </c>
      <c r="E81" s="17">
        <f>VLOOKUP(B81,BS!$A:$S,18,FALSE)-VLOOKUP(B81,BS!$A:$S,$C$1+5,FALSE)</f>
        <v>0</v>
      </c>
      <c r="F81" s="17">
        <f>VLOOKUP(B81,BS!$A:$S,18,FALSE)</f>
        <v>0</v>
      </c>
      <c r="G81" s="18">
        <f t="shared" si="22"/>
        <v>0</v>
      </c>
      <c r="H81" s="19">
        <f t="shared" si="23"/>
        <v>0</v>
      </c>
      <c r="I81" s="18">
        <f t="shared" si="24"/>
        <v>0</v>
      </c>
      <c r="J81" s="19">
        <f t="shared" si="25"/>
        <v>0</v>
      </c>
      <c r="L81" s="6" t="s">
        <v>568</v>
      </c>
      <c r="M81" s="20" t="s">
        <v>569</v>
      </c>
      <c r="N81" s="17">
        <f>VLOOKUP(L81,PL!$A:$S,$C$1+3,FALSE)</f>
        <v>0</v>
      </c>
      <c r="O81" s="17">
        <f>VLOOKUP(L81,PL!$A:$S,$C$1+4,FALSE)</f>
        <v>0</v>
      </c>
      <c r="P81" s="17">
        <f>VLOOKUP(L81,PL!$A:$S,$C$1+5,FALSE)</f>
        <v>0</v>
      </c>
      <c r="Q81" s="18">
        <f t="shared" si="26"/>
        <v>0</v>
      </c>
      <c r="R81" s="19">
        <f t="shared" si="27"/>
        <v>0</v>
      </c>
      <c r="S81" s="18">
        <f t="shared" si="28"/>
        <v>0</v>
      </c>
      <c r="T81" s="19">
        <f t="shared" si="29"/>
        <v>0</v>
      </c>
    </row>
    <row r="82" spans="2:20" x14ac:dyDescent="0.4">
      <c r="B82" s="6" t="s">
        <v>174</v>
      </c>
      <c r="C82" s="20" t="s">
        <v>175</v>
      </c>
      <c r="D82" s="17">
        <f>VLOOKUP(B82,BS!$A:$S,18,FALSE)-VLOOKUP(B82,BS!$A:$S,$C$1+5,FALSE)-VLOOKUP(B82,BS!$A:$S,$C$1+4,FALSE)</f>
        <v>0</v>
      </c>
      <c r="E82" s="17">
        <f>VLOOKUP(B82,BS!$A:$S,18,FALSE)-VLOOKUP(B82,BS!$A:$S,$C$1+5,FALSE)</f>
        <v>0</v>
      </c>
      <c r="F82" s="17">
        <f>VLOOKUP(B82,BS!$A:$S,18,FALSE)</f>
        <v>0</v>
      </c>
      <c r="G82" s="18">
        <f t="shared" si="22"/>
        <v>0</v>
      </c>
      <c r="H82" s="19">
        <f t="shared" si="23"/>
        <v>0</v>
      </c>
      <c r="I82" s="18">
        <f t="shared" si="24"/>
        <v>0</v>
      </c>
      <c r="J82" s="19">
        <f t="shared" si="25"/>
        <v>0</v>
      </c>
      <c r="L82" s="6" t="s">
        <v>570</v>
      </c>
      <c r="M82" s="20" t="s">
        <v>571</v>
      </c>
      <c r="N82" s="17">
        <f>VLOOKUP(L82,PL!$A:$S,$C$1+3,FALSE)</f>
        <v>257451884.55000001</v>
      </c>
      <c r="O82" s="17">
        <f>VLOOKUP(L82,PL!$A:$S,$C$1+4,FALSE)</f>
        <v>739093732.89999998</v>
      </c>
      <c r="P82" s="17">
        <f>VLOOKUP(L82,PL!$A:$S,$C$1+5,FALSE)</f>
        <v>279778492.01999998</v>
      </c>
      <c r="Q82" s="18">
        <f t="shared" si="26"/>
        <v>481641848.34999996</v>
      </c>
      <c r="R82" s="19">
        <f t="shared" si="27"/>
        <v>1.870803351048921</v>
      </c>
      <c r="S82" s="18">
        <f t="shared" si="28"/>
        <v>-459315240.88</v>
      </c>
      <c r="T82" s="19">
        <f t="shared" si="29"/>
        <v>-0.62145736113574346</v>
      </c>
    </row>
    <row r="83" spans="2:20" x14ac:dyDescent="0.4">
      <c r="B83" s="6" t="s">
        <v>176</v>
      </c>
      <c r="C83" s="20" t="s">
        <v>177</v>
      </c>
      <c r="D83" s="17">
        <f>VLOOKUP(B83,BS!$A:$S,18,FALSE)-VLOOKUP(B83,BS!$A:$S,$C$1+5,FALSE)-VLOOKUP(B83,BS!$A:$S,$C$1+4,FALSE)</f>
        <v>1326962100.3499999</v>
      </c>
      <c r="E83" s="17">
        <f>VLOOKUP(B83,BS!$A:$S,18,FALSE)-VLOOKUP(B83,BS!$A:$S,$C$1+5,FALSE)</f>
        <v>1358436921.78</v>
      </c>
      <c r="F83" s="17">
        <f>VLOOKUP(B83,BS!$A:$S,18,FALSE)</f>
        <v>1365905046.78</v>
      </c>
      <c r="G83" s="18">
        <f t="shared" si="22"/>
        <v>31474821.430000067</v>
      </c>
      <c r="H83" s="19">
        <f t="shared" si="23"/>
        <v>2.371945771601032E-2</v>
      </c>
      <c r="I83" s="18">
        <f t="shared" si="24"/>
        <v>7468125</v>
      </c>
      <c r="J83" s="19">
        <f t="shared" si="25"/>
        <v>5.4975868811150208E-3</v>
      </c>
      <c r="L83" s="6" t="s">
        <v>572</v>
      </c>
      <c r="M83" s="20" t="s">
        <v>573</v>
      </c>
      <c r="N83" s="17">
        <f>VLOOKUP(L83,PL!$A:$S,$C$1+3,FALSE)</f>
        <v>0</v>
      </c>
      <c r="O83" s="17">
        <f>VLOOKUP(L83,PL!$A:$S,$C$1+4,FALSE)</f>
        <v>0</v>
      </c>
      <c r="P83" s="17">
        <f>VLOOKUP(L83,PL!$A:$S,$C$1+5,FALSE)</f>
        <v>0</v>
      </c>
      <c r="Q83" s="18">
        <f t="shared" si="26"/>
        <v>0</v>
      </c>
      <c r="R83" s="19">
        <f t="shared" si="27"/>
        <v>0</v>
      </c>
      <c r="S83" s="18">
        <f t="shared" si="28"/>
        <v>0</v>
      </c>
      <c r="T83" s="19">
        <f t="shared" si="29"/>
        <v>0</v>
      </c>
    </row>
    <row r="84" spans="2:20" x14ac:dyDescent="0.4">
      <c r="B84" s="6" t="s">
        <v>178</v>
      </c>
      <c r="C84" s="20" t="s">
        <v>179</v>
      </c>
      <c r="D84" s="17">
        <f>VLOOKUP(B84,BS!$A:$S,18,FALSE)-VLOOKUP(B84,BS!$A:$S,$C$1+5,FALSE)-VLOOKUP(B84,BS!$A:$S,$C$1+4,FALSE)</f>
        <v>-748663448.72000003</v>
      </c>
      <c r="E84" s="17">
        <f>VLOOKUP(B84,BS!$A:$S,18,FALSE)-VLOOKUP(B84,BS!$A:$S,$C$1+5,FALSE)</f>
        <v>-768017988.76999998</v>
      </c>
      <c r="F84" s="17">
        <f>VLOOKUP(B84,BS!$A:$S,18,FALSE)</f>
        <v>-787704176.96000004</v>
      </c>
      <c r="G84" s="18">
        <f t="shared" si="22"/>
        <v>-19354540.049999952</v>
      </c>
      <c r="H84" s="19">
        <f t="shared" si="23"/>
        <v>2.5852123651943566E-2</v>
      </c>
      <c r="I84" s="18">
        <f t="shared" si="24"/>
        <v>-19686188.190000057</v>
      </c>
      <c r="J84" s="19">
        <f t="shared" si="25"/>
        <v>2.5632457153155982E-2</v>
      </c>
      <c r="K84" s="30">
        <f>(I70+I72+I75+I79+I81+I84+I87+I91)+P58</f>
        <v>-5.2154064178466797E-8</v>
      </c>
      <c r="L84" s="6" t="s">
        <v>574</v>
      </c>
      <c r="M84" s="20" t="s">
        <v>575</v>
      </c>
      <c r="N84" s="17">
        <f>VLOOKUP(L84,PL!$A:$S,$C$1+3,FALSE)</f>
        <v>0</v>
      </c>
      <c r="O84" s="17">
        <f>VLOOKUP(L84,PL!$A:$S,$C$1+4,FALSE)</f>
        <v>0</v>
      </c>
      <c r="P84" s="17">
        <f>VLOOKUP(L84,PL!$A:$S,$C$1+5,FALSE)</f>
        <v>0</v>
      </c>
      <c r="Q84" s="18">
        <f t="shared" si="26"/>
        <v>0</v>
      </c>
      <c r="R84" s="19">
        <f t="shared" si="27"/>
        <v>0</v>
      </c>
      <c r="S84" s="18">
        <f t="shared" si="28"/>
        <v>0</v>
      </c>
      <c r="T84" s="19">
        <f t="shared" si="29"/>
        <v>0</v>
      </c>
    </row>
    <row r="85" spans="2:20" x14ac:dyDescent="0.4">
      <c r="B85" s="6" t="s">
        <v>180</v>
      </c>
      <c r="C85" s="20" t="s">
        <v>181</v>
      </c>
      <c r="D85" s="17">
        <f>VLOOKUP(B85,BS!$A:$S,18,FALSE)-VLOOKUP(B85,BS!$A:$S,$C$1+5,FALSE)-VLOOKUP(B85,BS!$A:$S,$C$1+4,FALSE)</f>
        <v>0</v>
      </c>
      <c r="E85" s="17">
        <f>VLOOKUP(B85,BS!$A:$S,18,FALSE)-VLOOKUP(B85,BS!$A:$S,$C$1+5,FALSE)</f>
        <v>0</v>
      </c>
      <c r="F85" s="17">
        <f>VLOOKUP(B85,BS!$A:$S,18,FALSE)</f>
        <v>0</v>
      </c>
      <c r="G85" s="18">
        <f t="shared" si="22"/>
        <v>0</v>
      </c>
      <c r="H85" s="19">
        <f t="shared" si="23"/>
        <v>0</v>
      </c>
      <c r="I85" s="18">
        <f t="shared" si="24"/>
        <v>0</v>
      </c>
      <c r="J85" s="19">
        <f t="shared" si="25"/>
        <v>0</v>
      </c>
      <c r="K85" s="31"/>
      <c r="L85" s="6" t="s">
        <v>576</v>
      </c>
      <c r="M85" s="20" t="s">
        <v>577</v>
      </c>
      <c r="N85" s="17">
        <f>VLOOKUP(L85,PL!$A:$S,$C$1+3,FALSE)</f>
        <v>0</v>
      </c>
      <c r="O85" s="17">
        <f>VLOOKUP(L85,PL!$A:$S,$C$1+4,FALSE)</f>
        <v>0</v>
      </c>
      <c r="P85" s="17">
        <f>VLOOKUP(L85,PL!$A:$S,$C$1+5,FALSE)</f>
        <v>0</v>
      </c>
      <c r="Q85" s="18">
        <f t="shared" si="26"/>
        <v>0</v>
      </c>
      <c r="R85" s="19">
        <f t="shared" si="27"/>
        <v>0</v>
      </c>
      <c r="S85" s="18">
        <f t="shared" si="28"/>
        <v>0</v>
      </c>
      <c r="T85" s="19">
        <f t="shared" si="29"/>
        <v>0</v>
      </c>
    </row>
    <row r="86" spans="2:20" x14ac:dyDescent="0.4">
      <c r="B86" s="6" t="s">
        <v>182</v>
      </c>
      <c r="C86" s="20" t="s">
        <v>183</v>
      </c>
      <c r="D86" s="17">
        <f>VLOOKUP(B86,BS!$A:$S,18,FALSE)-VLOOKUP(B86,BS!$A:$S,$C$1+5,FALSE)-VLOOKUP(B86,BS!$A:$S,$C$1+4,FALSE)</f>
        <v>0</v>
      </c>
      <c r="E86" s="17">
        <f>VLOOKUP(B86,BS!$A:$S,18,FALSE)-VLOOKUP(B86,BS!$A:$S,$C$1+5,FALSE)</f>
        <v>0</v>
      </c>
      <c r="F86" s="17">
        <f>VLOOKUP(B86,BS!$A:$S,18,FALSE)</f>
        <v>0</v>
      </c>
      <c r="G86" s="18">
        <f t="shared" si="22"/>
        <v>0</v>
      </c>
      <c r="H86" s="19">
        <f t="shared" si="23"/>
        <v>0</v>
      </c>
      <c r="I86" s="18">
        <f t="shared" si="24"/>
        <v>0</v>
      </c>
      <c r="J86" s="19">
        <f t="shared" si="25"/>
        <v>0</v>
      </c>
      <c r="K86" s="32" t="s">
        <v>727</v>
      </c>
      <c r="L86" s="6" t="s">
        <v>578</v>
      </c>
      <c r="M86" s="20" t="s">
        <v>579</v>
      </c>
      <c r="N86" s="17">
        <f>VLOOKUP(L86,PL!$A:$S,$C$1+3,FALSE)</f>
        <v>0</v>
      </c>
      <c r="O86" s="17">
        <f>VLOOKUP(L86,PL!$A:$S,$C$1+4,FALSE)</f>
        <v>0</v>
      </c>
      <c r="P86" s="17">
        <f>VLOOKUP(L86,PL!$A:$S,$C$1+5,FALSE)</f>
        <v>0</v>
      </c>
      <c r="Q86" s="18">
        <f t="shared" si="26"/>
        <v>0</v>
      </c>
      <c r="R86" s="19">
        <f t="shared" si="27"/>
        <v>0</v>
      </c>
      <c r="S86" s="18">
        <f t="shared" si="28"/>
        <v>0</v>
      </c>
      <c r="T86" s="19">
        <f t="shared" si="29"/>
        <v>0</v>
      </c>
    </row>
    <row r="87" spans="2:20" x14ac:dyDescent="0.4">
      <c r="B87" s="6" t="s">
        <v>184</v>
      </c>
      <c r="C87" s="20" t="s">
        <v>185</v>
      </c>
      <c r="D87" s="17">
        <f>VLOOKUP(B87,BS!$A:$S,18,FALSE)-VLOOKUP(B87,BS!$A:$S,$C$1+5,FALSE)-VLOOKUP(B87,BS!$A:$S,$C$1+4,FALSE)</f>
        <v>0</v>
      </c>
      <c r="E87" s="17">
        <f>VLOOKUP(B87,BS!$A:$S,18,FALSE)-VLOOKUP(B87,BS!$A:$S,$C$1+5,FALSE)</f>
        <v>0</v>
      </c>
      <c r="F87" s="17">
        <f>VLOOKUP(B87,BS!$A:$S,18,FALSE)</f>
        <v>0</v>
      </c>
      <c r="G87" s="18">
        <f t="shared" si="22"/>
        <v>0</v>
      </c>
      <c r="H87" s="19">
        <f t="shared" si="23"/>
        <v>0</v>
      </c>
      <c r="I87" s="18">
        <f t="shared" si="24"/>
        <v>0</v>
      </c>
      <c r="J87" s="19">
        <f t="shared" si="25"/>
        <v>0</v>
      </c>
      <c r="L87" s="6" t="s">
        <v>580</v>
      </c>
      <c r="M87" s="20" t="s">
        <v>581</v>
      </c>
      <c r="N87" s="17">
        <f>VLOOKUP(L87,PL!$A:$S,$C$1+3,FALSE)</f>
        <v>0</v>
      </c>
      <c r="O87" s="17">
        <f>VLOOKUP(L87,PL!$A:$S,$C$1+4,FALSE)</f>
        <v>0</v>
      </c>
      <c r="P87" s="17">
        <f>VLOOKUP(L87,PL!$A:$S,$C$1+5,FALSE)</f>
        <v>0</v>
      </c>
      <c r="Q87" s="18">
        <f t="shared" si="26"/>
        <v>0</v>
      </c>
      <c r="R87" s="19">
        <f t="shared" si="27"/>
        <v>0</v>
      </c>
      <c r="S87" s="18">
        <f t="shared" si="28"/>
        <v>0</v>
      </c>
      <c r="T87" s="19">
        <f t="shared" si="29"/>
        <v>0</v>
      </c>
    </row>
    <row r="88" spans="2:20" x14ac:dyDescent="0.4">
      <c r="B88" s="6" t="s">
        <v>186</v>
      </c>
      <c r="C88" s="20" t="s">
        <v>187</v>
      </c>
      <c r="D88" s="17">
        <f>VLOOKUP(B88,BS!$A:$S,18,FALSE)-VLOOKUP(B88,BS!$A:$S,$C$1+5,FALSE)-VLOOKUP(B88,BS!$A:$S,$C$1+4,FALSE)</f>
        <v>0</v>
      </c>
      <c r="E88" s="17">
        <f>VLOOKUP(B88,BS!$A:$S,18,FALSE)-VLOOKUP(B88,BS!$A:$S,$C$1+5,FALSE)</f>
        <v>0</v>
      </c>
      <c r="F88" s="17">
        <f>VLOOKUP(B88,BS!$A:$S,18,FALSE)</f>
        <v>0</v>
      </c>
      <c r="G88" s="18">
        <f t="shared" si="22"/>
        <v>0</v>
      </c>
      <c r="H88" s="19">
        <f t="shared" si="23"/>
        <v>0</v>
      </c>
      <c r="I88" s="18">
        <f t="shared" si="24"/>
        <v>0</v>
      </c>
      <c r="J88" s="19">
        <f t="shared" si="25"/>
        <v>0</v>
      </c>
      <c r="L88" s="6" t="s">
        <v>582</v>
      </c>
      <c r="M88" s="20" t="s">
        <v>583</v>
      </c>
      <c r="N88" s="17">
        <f>VLOOKUP(L88,PL!$A:$S,$C$1+3,FALSE)</f>
        <v>0</v>
      </c>
      <c r="O88" s="17">
        <f>VLOOKUP(L88,PL!$A:$S,$C$1+4,FALSE)</f>
        <v>0</v>
      </c>
      <c r="P88" s="17">
        <f>VLOOKUP(L88,PL!$A:$S,$C$1+5,FALSE)</f>
        <v>0</v>
      </c>
      <c r="Q88" s="18">
        <f t="shared" si="26"/>
        <v>0</v>
      </c>
      <c r="R88" s="19">
        <f t="shared" si="27"/>
        <v>0</v>
      </c>
      <c r="S88" s="18">
        <f t="shared" si="28"/>
        <v>0</v>
      </c>
      <c r="T88" s="19">
        <f t="shared" si="29"/>
        <v>0</v>
      </c>
    </row>
    <row r="89" spans="2:20" x14ac:dyDescent="0.4">
      <c r="B89" s="6" t="s">
        <v>188</v>
      </c>
      <c r="C89" s="20" t="s">
        <v>189</v>
      </c>
      <c r="D89" s="17">
        <f>VLOOKUP(B89,BS!$A:$S,18,FALSE)-VLOOKUP(B89,BS!$A:$S,$C$1+5,FALSE)-VLOOKUP(B89,BS!$A:$S,$C$1+4,FALSE)</f>
        <v>0</v>
      </c>
      <c r="E89" s="17">
        <f>VLOOKUP(B89,BS!$A:$S,18,FALSE)-VLOOKUP(B89,BS!$A:$S,$C$1+5,FALSE)</f>
        <v>0</v>
      </c>
      <c r="F89" s="17">
        <f>VLOOKUP(B89,BS!$A:$S,18,FALSE)</f>
        <v>0</v>
      </c>
      <c r="G89" s="18">
        <f t="shared" si="22"/>
        <v>0</v>
      </c>
      <c r="H89" s="19">
        <f t="shared" si="23"/>
        <v>0</v>
      </c>
      <c r="I89" s="18">
        <f t="shared" si="24"/>
        <v>0</v>
      </c>
      <c r="J89" s="19">
        <f t="shared" si="25"/>
        <v>0</v>
      </c>
      <c r="L89" s="6" t="s">
        <v>584</v>
      </c>
      <c r="M89" s="20" t="s">
        <v>585</v>
      </c>
      <c r="N89" s="17">
        <f>VLOOKUP(L89,PL!$A:$S,$C$1+3,FALSE)</f>
        <v>0</v>
      </c>
      <c r="O89" s="17">
        <f>VLOOKUP(L89,PL!$A:$S,$C$1+4,FALSE)</f>
        <v>0</v>
      </c>
      <c r="P89" s="17">
        <f>VLOOKUP(L89,PL!$A:$S,$C$1+5,FALSE)</f>
        <v>0</v>
      </c>
      <c r="Q89" s="18">
        <f t="shared" si="26"/>
        <v>0</v>
      </c>
      <c r="R89" s="19">
        <f t="shared" si="27"/>
        <v>0</v>
      </c>
      <c r="S89" s="18">
        <f t="shared" si="28"/>
        <v>0</v>
      </c>
      <c r="T89" s="19">
        <f t="shared" si="29"/>
        <v>0</v>
      </c>
    </row>
    <row r="90" spans="2:20" x14ac:dyDescent="0.4">
      <c r="B90" s="6" t="s">
        <v>190</v>
      </c>
      <c r="C90" s="20" t="s">
        <v>191</v>
      </c>
      <c r="D90" s="17">
        <f>VLOOKUP(B90,BS!$A:$S,18,FALSE)-VLOOKUP(B90,BS!$A:$S,$C$1+5,FALSE)-VLOOKUP(B90,BS!$A:$S,$C$1+4,FALSE)</f>
        <v>0</v>
      </c>
      <c r="E90" s="17">
        <f>VLOOKUP(B90,BS!$A:$S,18,FALSE)-VLOOKUP(B90,BS!$A:$S,$C$1+5,FALSE)</f>
        <v>0</v>
      </c>
      <c r="F90" s="17">
        <f>VLOOKUP(B90,BS!$A:$S,18,FALSE)</f>
        <v>0</v>
      </c>
      <c r="G90" s="18">
        <f t="shared" si="22"/>
        <v>0</v>
      </c>
      <c r="H90" s="19">
        <f t="shared" si="23"/>
        <v>0</v>
      </c>
      <c r="I90" s="18">
        <f t="shared" si="24"/>
        <v>0</v>
      </c>
      <c r="J90" s="19">
        <f t="shared" si="25"/>
        <v>0</v>
      </c>
      <c r="K90" s="31"/>
      <c r="L90" s="6" t="s">
        <v>586</v>
      </c>
      <c r="M90" s="20" t="s">
        <v>587</v>
      </c>
      <c r="N90" s="17">
        <f>VLOOKUP(L90,PL!$A:$S,$C$1+3,FALSE)</f>
        <v>0</v>
      </c>
      <c r="O90" s="17">
        <f>VLOOKUP(L90,PL!$A:$S,$C$1+4,FALSE)</f>
        <v>0</v>
      </c>
      <c r="P90" s="17">
        <f>VLOOKUP(L90,PL!$A:$S,$C$1+5,FALSE)</f>
        <v>0</v>
      </c>
      <c r="Q90" s="18">
        <f t="shared" si="26"/>
        <v>0</v>
      </c>
      <c r="R90" s="19">
        <f t="shared" si="27"/>
        <v>0</v>
      </c>
      <c r="S90" s="18">
        <f t="shared" si="28"/>
        <v>0</v>
      </c>
      <c r="T90" s="19">
        <f t="shared" si="29"/>
        <v>0</v>
      </c>
    </row>
    <row r="91" spans="2:20" x14ac:dyDescent="0.4">
      <c r="B91" s="6" t="s">
        <v>192</v>
      </c>
      <c r="C91" s="20" t="s">
        <v>193</v>
      </c>
      <c r="D91" s="17">
        <f>VLOOKUP(B91,BS!$A:$S,18,FALSE)-VLOOKUP(B91,BS!$A:$S,$C$1+5,FALSE)-VLOOKUP(B91,BS!$A:$S,$C$1+4,FALSE)</f>
        <v>0</v>
      </c>
      <c r="E91" s="17">
        <f>VLOOKUP(B91,BS!$A:$S,18,FALSE)-VLOOKUP(B91,BS!$A:$S,$C$1+5,FALSE)</f>
        <v>0</v>
      </c>
      <c r="F91" s="17">
        <f>VLOOKUP(B91,BS!$A:$S,18,FALSE)</f>
        <v>0</v>
      </c>
      <c r="G91" s="18">
        <f t="shared" si="22"/>
        <v>0</v>
      </c>
      <c r="H91" s="19">
        <f t="shared" si="23"/>
        <v>0</v>
      </c>
      <c r="I91" s="18">
        <f t="shared" si="24"/>
        <v>0</v>
      </c>
      <c r="J91" s="19">
        <f t="shared" si="25"/>
        <v>0</v>
      </c>
      <c r="K91" s="32" t="s">
        <v>727</v>
      </c>
      <c r="L91" s="6" t="s">
        <v>588</v>
      </c>
      <c r="M91" s="20" t="s">
        <v>589</v>
      </c>
      <c r="N91" s="17">
        <f>VLOOKUP(L91,PL!$A:$S,$C$1+3,FALSE)</f>
        <v>0</v>
      </c>
      <c r="O91" s="17">
        <f>VLOOKUP(L91,PL!$A:$S,$C$1+4,FALSE)</f>
        <v>0</v>
      </c>
      <c r="P91" s="17">
        <f>VLOOKUP(L91,PL!$A:$S,$C$1+5,FALSE)</f>
        <v>0</v>
      </c>
      <c r="Q91" s="18">
        <f t="shared" si="26"/>
        <v>0</v>
      </c>
      <c r="R91" s="19">
        <f t="shared" si="27"/>
        <v>0</v>
      </c>
      <c r="S91" s="18">
        <f t="shared" si="28"/>
        <v>0</v>
      </c>
      <c r="T91" s="19">
        <f t="shared" si="29"/>
        <v>0</v>
      </c>
    </row>
    <row r="92" spans="2:20" x14ac:dyDescent="0.4">
      <c r="B92" s="6" t="s">
        <v>194</v>
      </c>
      <c r="C92" s="20" t="s">
        <v>195</v>
      </c>
      <c r="D92" s="17">
        <f>VLOOKUP(B92,BS!$A:$S,18,FALSE)-VLOOKUP(B92,BS!$A:$S,$C$1+5,FALSE)-VLOOKUP(B92,BS!$A:$S,$C$1+4,FALSE)</f>
        <v>0</v>
      </c>
      <c r="E92" s="17">
        <f>VLOOKUP(B92,BS!$A:$S,18,FALSE)-VLOOKUP(B92,BS!$A:$S,$C$1+5,FALSE)</f>
        <v>0</v>
      </c>
      <c r="F92" s="17">
        <f>VLOOKUP(B92,BS!$A:$S,18,FALSE)</f>
        <v>0</v>
      </c>
      <c r="G92" s="18">
        <f t="shared" si="22"/>
        <v>0</v>
      </c>
      <c r="H92" s="19">
        <f t="shared" si="23"/>
        <v>0</v>
      </c>
      <c r="I92" s="18">
        <f t="shared" si="24"/>
        <v>0</v>
      </c>
      <c r="J92" s="19">
        <f t="shared" si="25"/>
        <v>0</v>
      </c>
      <c r="L92" s="6" t="s">
        <v>590</v>
      </c>
      <c r="M92" s="20" t="s">
        <v>591</v>
      </c>
      <c r="N92" s="17">
        <f>VLOOKUP(L92,PL!$A:$S,$C$1+3,FALSE)</f>
        <v>0</v>
      </c>
      <c r="O92" s="17">
        <f>VLOOKUP(L92,PL!$A:$S,$C$1+4,FALSE)</f>
        <v>0</v>
      </c>
      <c r="P92" s="17">
        <f>VLOOKUP(L92,PL!$A:$S,$C$1+5,FALSE)</f>
        <v>0</v>
      </c>
      <c r="Q92" s="18">
        <f t="shared" si="26"/>
        <v>0</v>
      </c>
      <c r="R92" s="19">
        <f t="shared" si="27"/>
        <v>0</v>
      </c>
      <c r="S92" s="18">
        <f t="shared" si="28"/>
        <v>0</v>
      </c>
      <c r="T92" s="19">
        <f t="shared" si="29"/>
        <v>0</v>
      </c>
    </row>
    <row r="93" spans="2:20" x14ac:dyDescent="0.4">
      <c r="B93" s="6" t="s">
        <v>196</v>
      </c>
      <c r="C93" s="20" t="s">
        <v>197</v>
      </c>
      <c r="D93" s="17">
        <f>VLOOKUP(B93,BS!$A:$S,18,FALSE)-VLOOKUP(B93,BS!$A:$S,$C$1+5,FALSE)-VLOOKUP(B93,BS!$A:$S,$C$1+4,FALSE)</f>
        <v>0</v>
      </c>
      <c r="E93" s="17">
        <f>VLOOKUP(B93,BS!$A:$S,18,FALSE)-VLOOKUP(B93,BS!$A:$S,$C$1+5,FALSE)</f>
        <v>0</v>
      </c>
      <c r="F93" s="17">
        <f>VLOOKUP(B93,BS!$A:$S,18,FALSE)</f>
        <v>0</v>
      </c>
      <c r="G93" s="18">
        <f t="shared" si="22"/>
        <v>0</v>
      </c>
      <c r="H93" s="19">
        <f t="shared" si="23"/>
        <v>0</v>
      </c>
      <c r="I93" s="18">
        <f t="shared" si="24"/>
        <v>0</v>
      </c>
      <c r="J93" s="19">
        <f t="shared" si="25"/>
        <v>0</v>
      </c>
      <c r="L93" s="6" t="s">
        <v>592</v>
      </c>
      <c r="M93" s="20" t="s">
        <v>593</v>
      </c>
      <c r="N93" s="17">
        <f>VLOOKUP(L93,PL!$A:$S,$C$1+3,FALSE)</f>
        <v>0</v>
      </c>
      <c r="O93" s="17">
        <f>VLOOKUP(L93,PL!$A:$S,$C$1+4,FALSE)</f>
        <v>0</v>
      </c>
      <c r="P93" s="17">
        <f>VLOOKUP(L93,PL!$A:$S,$C$1+5,FALSE)</f>
        <v>0</v>
      </c>
      <c r="Q93" s="18">
        <f t="shared" si="26"/>
        <v>0</v>
      </c>
      <c r="R93" s="19">
        <f t="shared" si="27"/>
        <v>0</v>
      </c>
      <c r="S93" s="18">
        <f t="shared" si="28"/>
        <v>0</v>
      </c>
      <c r="T93" s="19">
        <f t="shared" si="29"/>
        <v>0</v>
      </c>
    </row>
    <row r="94" spans="2:20" x14ac:dyDescent="0.4">
      <c r="B94" s="6" t="s">
        <v>198</v>
      </c>
      <c r="C94" s="20" t="s">
        <v>199</v>
      </c>
      <c r="D94" s="17">
        <f>VLOOKUP(B94,BS!$A:$S,18,FALSE)-VLOOKUP(B94,BS!$A:$S,$C$1+5,FALSE)-VLOOKUP(B94,BS!$A:$S,$C$1+4,FALSE)</f>
        <v>0</v>
      </c>
      <c r="E94" s="17">
        <f>VLOOKUP(B94,BS!$A:$S,18,FALSE)-VLOOKUP(B94,BS!$A:$S,$C$1+5,FALSE)</f>
        <v>0</v>
      </c>
      <c r="F94" s="17">
        <f>VLOOKUP(B94,BS!$A:$S,18,FALSE)</f>
        <v>0</v>
      </c>
      <c r="G94" s="18">
        <f t="shared" si="22"/>
        <v>0</v>
      </c>
      <c r="H94" s="19">
        <f t="shared" si="23"/>
        <v>0</v>
      </c>
      <c r="I94" s="18">
        <f t="shared" si="24"/>
        <v>0</v>
      </c>
      <c r="J94" s="19">
        <f t="shared" si="25"/>
        <v>0</v>
      </c>
      <c r="L94" s="6" t="s">
        <v>594</v>
      </c>
      <c r="M94" s="20" t="s">
        <v>595</v>
      </c>
      <c r="N94" s="17">
        <f>VLOOKUP(L94,PL!$A:$S,$C$1+3,FALSE)</f>
        <v>0</v>
      </c>
      <c r="O94" s="17">
        <f>VLOOKUP(L94,PL!$A:$S,$C$1+4,FALSE)</f>
        <v>0</v>
      </c>
      <c r="P94" s="17">
        <f>VLOOKUP(L94,PL!$A:$S,$C$1+5,FALSE)</f>
        <v>0</v>
      </c>
      <c r="Q94" s="18">
        <f t="shared" si="26"/>
        <v>0</v>
      </c>
      <c r="R94" s="19">
        <f t="shared" si="27"/>
        <v>0</v>
      </c>
      <c r="S94" s="18">
        <f t="shared" si="28"/>
        <v>0</v>
      </c>
      <c r="T94" s="19">
        <f t="shared" si="29"/>
        <v>0</v>
      </c>
    </row>
    <row r="95" spans="2:20" x14ac:dyDescent="0.4">
      <c r="B95" s="6" t="s">
        <v>200</v>
      </c>
      <c r="C95" s="20" t="s">
        <v>201</v>
      </c>
      <c r="D95" s="17">
        <f>VLOOKUP(B95,BS!$A:$S,18,FALSE)-VLOOKUP(B95,BS!$A:$S,$C$1+5,FALSE)-VLOOKUP(B95,BS!$A:$S,$C$1+4,FALSE)</f>
        <v>4865469872</v>
      </c>
      <c r="E95" s="17">
        <f>VLOOKUP(B95,BS!$A:$S,18,FALSE)-VLOOKUP(B95,BS!$A:$S,$C$1+5,FALSE)</f>
        <v>4865469872</v>
      </c>
      <c r="F95" s="17">
        <f>VLOOKUP(B95,BS!$A:$S,18,FALSE)</f>
        <v>5459499919</v>
      </c>
      <c r="G95" s="18">
        <f t="shared" si="22"/>
        <v>0</v>
      </c>
      <c r="H95" s="19">
        <f t="shared" si="23"/>
        <v>0</v>
      </c>
      <c r="I95" s="18">
        <f t="shared" si="24"/>
        <v>594030047</v>
      </c>
      <c r="J95" s="19">
        <f t="shared" si="25"/>
        <v>0.12209099277719256</v>
      </c>
      <c r="L95" s="6" t="s">
        <v>596</v>
      </c>
      <c r="M95" s="20" t="s">
        <v>597</v>
      </c>
      <c r="N95" s="17">
        <f>VLOOKUP(L95,PL!$A:$S,$C$1+3,FALSE)</f>
        <v>0</v>
      </c>
      <c r="O95" s="17">
        <f>VLOOKUP(L95,PL!$A:$S,$C$1+4,FALSE)</f>
        <v>0</v>
      </c>
      <c r="P95" s="17">
        <f>VLOOKUP(L95,PL!$A:$S,$C$1+5,FALSE)</f>
        <v>0</v>
      </c>
      <c r="Q95" s="18">
        <f t="shared" si="26"/>
        <v>0</v>
      </c>
      <c r="R95" s="19">
        <f t="shared" si="27"/>
        <v>0</v>
      </c>
      <c r="S95" s="18">
        <f t="shared" si="28"/>
        <v>0</v>
      </c>
      <c r="T95" s="19">
        <f t="shared" si="29"/>
        <v>0</v>
      </c>
    </row>
    <row r="96" spans="2:20" x14ac:dyDescent="0.4">
      <c r="B96" s="6" t="s">
        <v>202</v>
      </c>
      <c r="C96" s="20" t="s">
        <v>203</v>
      </c>
      <c r="D96" s="17">
        <f>VLOOKUP(B96,BS!$A:$S,18,FALSE)-VLOOKUP(B96,BS!$A:$S,$C$1+5,FALSE)-VLOOKUP(B96,BS!$A:$S,$C$1+4,FALSE)</f>
        <v>-4339316041</v>
      </c>
      <c r="E96" s="17">
        <f>VLOOKUP(B96,BS!$A:$S,18,FALSE)-VLOOKUP(B96,BS!$A:$S,$C$1+5,FALSE)</f>
        <v>-4339316041</v>
      </c>
      <c r="F96" s="17">
        <f>VLOOKUP(B96,BS!$A:$S,18,FALSE)</f>
        <v>-375544060</v>
      </c>
      <c r="G96" s="18">
        <f t="shared" si="22"/>
        <v>0</v>
      </c>
      <c r="H96" s="19">
        <f t="shared" si="23"/>
        <v>0</v>
      </c>
      <c r="I96" s="18">
        <f t="shared" si="24"/>
        <v>3963771981</v>
      </c>
      <c r="J96" s="19">
        <f t="shared" si="25"/>
        <v>-0.91345547167994345</v>
      </c>
      <c r="K96" s="30">
        <f>I96+P59</f>
        <v>4380868441</v>
      </c>
      <c r="L96" s="6" t="s">
        <v>598</v>
      </c>
      <c r="M96" s="20" t="s">
        <v>599</v>
      </c>
      <c r="N96" s="17">
        <f>VLOOKUP(L96,PL!$A:$S,$C$1+3,FALSE)</f>
        <v>0</v>
      </c>
      <c r="O96" s="17">
        <f>VLOOKUP(L96,PL!$A:$S,$C$1+4,FALSE)</f>
        <v>0</v>
      </c>
      <c r="P96" s="17">
        <f>VLOOKUP(L96,PL!$A:$S,$C$1+5,FALSE)</f>
        <v>0</v>
      </c>
      <c r="Q96" s="18">
        <f t="shared" si="26"/>
        <v>0</v>
      </c>
      <c r="R96" s="19">
        <f t="shared" si="27"/>
        <v>0</v>
      </c>
      <c r="S96" s="18">
        <f t="shared" si="28"/>
        <v>0</v>
      </c>
      <c r="T96" s="19">
        <f t="shared" si="29"/>
        <v>0</v>
      </c>
    </row>
    <row r="97" spans="2:21" x14ac:dyDescent="0.4">
      <c r="B97" s="6" t="s">
        <v>204</v>
      </c>
      <c r="C97" s="20" t="s">
        <v>205</v>
      </c>
      <c r="D97" s="17">
        <f>VLOOKUP(B97,BS!$A:$S,18,FALSE)-VLOOKUP(B97,BS!$A:$S,$C$1+5,FALSE)-VLOOKUP(B97,BS!$A:$S,$C$1+4,FALSE)</f>
        <v>0</v>
      </c>
      <c r="E97" s="17">
        <f>VLOOKUP(B97,BS!$A:$S,18,FALSE)-VLOOKUP(B97,BS!$A:$S,$C$1+5,FALSE)</f>
        <v>0</v>
      </c>
      <c r="F97" s="17">
        <f>VLOOKUP(B97,BS!$A:$S,18,FALSE)</f>
        <v>0</v>
      </c>
      <c r="G97" s="18">
        <f t="shared" si="22"/>
        <v>0</v>
      </c>
      <c r="H97" s="19">
        <f t="shared" si="23"/>
        <v>0</v>
      </c>
      <c r="I97" s="18">
        <f t="shared" si="24"/>
        <v>0</v>
      </c>
      <c r="J97" s="19">
        <f t="shared" si="25"/>
        <v>0</v>
      </c>
      <c r="L97" s="6" t="s">
        <v>600</v>
      </c>
      <c r="M97" s="20" t="s">
        <v>601</v>
      </c>
      <c r="N97" s="17">
        <f>VLOOKUP(L97,PL!$A:$S,$C$1+3,FALSE)</f>
        <v>0</v>
      </c>
      <c r="O97" s="17">
        <f>VLOOKUP(L97,PL!$A:$S,$C$1+4,FALSE)</f>
        <v>0</v>
      </c>
      <c r="P97" s="17">
        <f>VLOOKUP(L97,PL!$A:$S,$C$1+5,FALSE)</f>
        <v>0</v>
      </c>
      <c r="Q97" s="18">
        <f t="shared" si="26"/>
        <v>0</v>
      </c>
      <c r="R97" s="19">
        <f t="shared" si="27"/>
        <v>0</v>
      </c>
      <c r="S97" s="18">
        <f t="shared" si="28"/>
        <v>0</v>
      </c>
      <c r="T97" s="19">
        <f t="shared" si="29"/>
        <v>0</v>
      </c>
    </row>
    <row r="98" spans="2:21" x14ac:dyDescent="0.4">
      <c r="B98" s="6" t="s">
        <v>206</v>
      </c>
      <c r="C98" s="20" t="s">
        <v>207</v>
      </c>
      <c r="D98" s="17">
        <f>VLOOKUP(B98,BS!$A:$S,18,FALSE)-VLOOKUP(B98,BS!$A:$S,$C$1+5,FALSE)-VLOOKUP(B98,BS!$A:$S,$C$1+4,FALSE)</f>
        <v>0</v>
      </c>
      <c r="E98" s="17">
        <f>VLOOKUP(B98,BS!$A:$S,18,FALSE)-VLOOKUP(B98,BS!$A:$S,$C$1+5,FALSE)</f>
        <v>0</v>
      </c>
      <c r="F98" s="17">
        <f>VLOOKUP(B98,BS!$A:$S,18,FALSE)</f>
        <v>0</v>
      </c>
      <c r="G98" s="18">
        <f t="shared" si="22"/>
        <v>0</v>
      </c>
      <c r="H98" s="19">
        <f t="shared" si="23"/>
        <v>0</v>
      </c>
      <c r="I98" s="18">
        <f t="shared" si="24"/>
        <v>0</v>
      </c>
      <c r="J98" s="19">
        <f t="shared" si="25"/>
        <v>0</v>
      </c>
      <c r="L98" s="6" t="s">
        <v>602</v>
      </c>
      <c r="M98" s="20" t="s">
        <v>603</v>
      </c>
      <c r="N98" s="17">
        <f>VLOOKUP(L98,PL!$A:$S,$C$1+3,FALSE)</f>
        <v>0</v>
      </c>
      <c r="O98" s="17">
        <f>VLOOKUP(L98,PL!$A:$S,$C$1+4,FALSE)</f>
        <v>0</v>
      </c>
      <c r="P98" s="17">
        <f>VLOOKUP(L98,PL!$A:$S,$C$1+5,FALSE)</f>
        <v>0</v>
      </c>
      <c r="Q98" s="18">
        <f t="shared" si="26"/>
        <v>0</v>
      </c>
      <c r="R98" s="19">
        <f t="shared" si="27"/>
        <v>0</v>
      </c>
      <c r="S98" s="18">
        <f t="shared" si="28"/>
        <v>0</v>
      </c>
      <c r="T98" s="19">
        <f t="shared" si="29"/>
        <v>0</v>
      </c>
    </row>
    <row r="99" spans="2:21" x14ac:dyDescent="0.4">
      <c r="B99" s="6" t="s">
        <v>208</v>
      </c>
      <c r="C99" s="20" t="s">
        <v>209</v>
      </c>
      <c r="D99" s="17">
        <f>VLOOKUP(B99,BS!$A:$S,18,FALSE)-VLOOKUP(B99,BS!$A:$S,$C$1+5,FALSE)-VLOOKUP(B99,BS!$A:$S,$C$1+4,FALSE)</f>
        <v>0</v>
      </c>
      <c r="E99" s="17">
        <f>VLOOKUP(B99,BS!$A:$S,18,FALSE)-VLOOKUP(B99,BS!$A:$S,$C$1+5,FALSE)</f>
        <v>0</v>
      </c>
      <c r="F99" s="17">
        <f>VLOOKUP(B99,BS!$A:$S,18,FALSE)</f>
        <v>0</v>
      </c>
      <c r="G99" s="18">
        <f t="shared" si="22"/>
        <v>0</v>
      </c>
      <c r="H99" s="19">
        <f t="shared" si="23"/>
        <v>0</v>
      </c>
      <c r="I99" s="18">
        <f t="shared" si="24"/>
        <v>0</v>
      </c>
      <c r="J99" s="19">
        <f t="shared" si="25"/>
        <v>0</v>
      </c>
      <c r="L99" s="6" t="s">
        <v>604</v>
      </c>
      <c r="M99" s="20" t="s">
        <v>605</v>
      </c>
      <c r="N99" s="17">
        <f>VLOOKUP(L99,PL!$A:$S,$C$1+3,FALSE)</f>
        <v>0</v>
      </c>
      <c r="O99" s="17">
        <f>VLOOKUP(L99,PL!$A:$S,$C$1+4,FALSE)</f>
        <v>0</v>
      </c>
      <c r="P99" s="17">
        <f>VLOOKUP(L99,PL!$A:$S,$C$1+5,FALSE)</f>
        <v>0</v>
      </c>
      <c r="Q99" s="18">
        <f t="shared" si="26"/>
        <v>0</v>
      </c>
      <c r="R99" s="19">
        <f t="shared" si="27"/>
        <v>0</v>
      </c>
      <c r="S99" s="18">
        <f t="shared" si="28"/>
        <v>0</v>
      </c>
      <c r="T99" s="19">
        <f t="shared" si="29"/>
        <v>0</v>
      </c>
    </row>
    <row r="100" spans="2:21" x14ac:dyDescent="0.4">
      <c r="B100" s="15" t="s">
        <v>210</v>
      </c>
      <c r="C100" s="16" t="s">
        <v>211</v>
      </c>
      <c r="D100" s="17">
        <f>VLOOKUP(B100,BS!$A:$S,18,FALSE)-VLOOKUP(B100,BS!$A:$S,$C$1+5,FALSE)-VLOOKUP(B100,BS!$A:$S,$C$1+4,FALSE)</f>
        <v>54518310.759999998</v>
      </c>
      <c r="E100" s="17">
        <f>VLOOKUP(B100,BS!$A:$S,18,FALSE)-VLOOKUP(B100,BS!$A:$S,$C$1+5,FALSE)</f>
        <v>53544769.5</v>
      </c>
      <c r="F100" s="17">
        <f>VLOOKUP(B100,BS!$A:$S,18,FALSE)</f>
        <v>52571228.240000002</v>
      </c>
      <c r="G100" s="18">
        <f t="shared" si="22"/>
        <v>-973541.25999999791</v>
      </c>
      <c r="H100" s="19">
        <f t="shared" si="23"/>
        <v>-1.7857142791634029E-2</v>
      </c>
      <c r="I100" s="18">
        <f t="shared" si="24"/>
        <v>-973541.25999999791</v>
      </c>
      <c r="J100" s="19">
        <f t="shared" si="25"/>
        <v>-1.8181818113905561E-2</v>
      </c>
      <c r="K100" s="30">
        <f>I100+P60</f>
        <v>2.0954757928848267E-9</v>
      </c>
      <c r="L100" s="6" t="s">
        <v>606</v>
      </c>
      <c r="M100" s="20" t="s">
        <v>607</v>
      </c>
      <c r="N100" s="17">
        <f>VLOOKUP(L100,PL!$A:$S,$C$1+3,FALSE)</f>
        <v>0</v>
      </c>
      <c r="O100" s="17">
        <f>VLOOKUP(L100,PL!$A:$S,$C$1+4,FALSE)</f>
        <v>0</v>
      </c>
      <c r="P100" s="17">
        <f>VLOOKUP(L100,PL!$A:$S,$C$1+5,FALSE)</f>
        <v>0</v>
      </c>
      <c r="Q100" s="18">
        <f t="shared" si="26"/>
        <v>0</v>
      </c>
      <c r="R100" s="19">
        <f t="shared" si="27"/>
        <v>0</v>
      </c>
      <c r="S100" s="18">
        <f t="shared" si="28"/>
        <v>0</v>
      </c>
      <c r="T100" s="19">
        <f t="shared" si="29"/>
        <v>0</v>
      </c>
    </row>
    <row r="101" spans="2:21" x14ac:dyDescent="0.4">
      <c r="B101" s="6" t="s">
        <v>212</v>
      </c>
      <c r="C101" s="20" t="s">
        <v>213</v>
      </c>
      <c r="D101" s="17">
        <f>VLOOKUP(B101,BS!$A:$S,18,FALSE)-VLOOKUP(B101,BS!$A:$S,$C$1+5,FALSE)-VLOOKUP(B101,BS!$A:$S,$C$1+4,FALSE)</f>
        <v>0</v>
      </c>
      <c r="E101" s="17">
        <f>VLOOKUP(B101,BS!$A:$S,18,FALSE)-VLOOKUP(B101,BS!$A:$S,$C$1+5,FALSE)</f>
        <v>0</v>
      </c>
      <c r="F101" s="17">
        <f>VLOOKUP(B101,BS!$A:$S,18,FALSE)</f>
        <v>0</v>
      </c>
      <c r="G101" s="18">
        <f t="shared" si="22"/>
        <v>0</v>
      </c>
      <c r="H101" s="19">
        <f t="shared" si="23"/>
        <v>0</v>
      </c>
      <c r="I101" s="18">
        <f t="shared" si="24"/>
        <v>0</v>
      </c>
      <c r="J101" s="19">
        <f t="shared" si="25"/>
        <v>0</v>
      </c>
      <c r="L101" s="6" t="s">
        <v>608</v>
      </c>
      <c r="M101" s="20" t="s">
        <v>609</v>
      </c>
      <c r="N101" s="17">
        <f>VLOOKUP(L101,PL!$A:$S,$C$1+3,FALSE)</f>
        <v>0</v>
      </c>
      <c r="O101" s="17">
        <f>VLOOKUP(L101,PL!$A:$S,$C$1+4,FALSE)</f>
        <v>0</v>
      </c>
      <c r="P101" s="17">
        <f>VLOOKUP(L101,PL!$A:$S,$C$1+5,FALSE)</f>
        <v>0</v>
      </c>
      <c r="Q101" s="18">
        <f t="shared" si="26"/>
        <v>0</v>
      </c>
      <c r="R101" s="19">
        <f t="shared" si="27"/>
        <v>0</v>
      </c>
      <c r="S101" s="18">
        <f t="shared" si="28"/>
        <v>0</v>
      </c>
      <c r="T101" s="19">
        <f t="shared" si="29"/>
        <v>0</v>
      </c>
    </row>
    <row r="102" spans="2:21" x14ac:dyDescent="0.4">
      <c r="B102" s="6" t="s">
        <v>214</v>
      </c>
      <c r="C102" s="20" t="s">
        <v>215</v>
      </c>
      <c r="D102" s="17">
        <f>VLOOKUP(B102,BS!$A:$S,18,FALSE)-VLOOKUP(B102,BS!$A:$S,$C$1+5,FALSE)-VLOOKUP(B102,BS!$A:$S,$C$1+4,FALSE)</f>
        <v>0</v>
      </c>
      <c r="E102" s="17">
        <f>VLOOKUP(B102,BS!$A:$S,18,FALSE)-VLOOKUP(B102,BS!$A:$S,$C$1+5,FALSE)</f>
        <v>0</v>
      </c>
      <c r="F102" s="17">
        <f>VLOOKUP(B102,BS!$A:$S,18,FALSE)</f>
        <v>0</v>
      </c>
      <c r="G102" s="18">
        <f t="shared" si="22"/>
        <v>0</v>
      </c>
      <c r="H102" s="19">
        <f t="shared" si="23"/>
        <v>0</v>
      </c>
      <c r="I102" s="18">
        <f t="shared" si="24"/>
        <v>0</v>
      </c>
      <c r="J102" s="19">
        <f t="shared" si="25"/>
        <v>0</v>
      </c>
      <c r="L102" s="6" t="s">
        <v>610</v>
      </c>
      <c r="M102" s="20" t="s">
        <v>611</v>
      </c>
      <c r="N102" s="17">
        <f>VLOOKUP(L102,PL!$A:$S,$C$1+3,FALSE)</f>
        <v>0</v>
      </c>
      <c r="O102" s="17">
        <f>VLOOKUP(L102,PL!$A:$S,$C$1+4,FALSE)</f>
        <v>0</v>
      </c>
      <c r="P102" s="17">
        <f>VLOOKUP(L102,PL!$A:$S,$C$1+5,FALSE)</f>
        <v>0</v>
      </c>
      <c r="Q102" s="18">
        <f t="shared" si="26"/>
        <v>0</v>
      </c>
      <c r="R102" s="19">
        <f t="shared" si="27"/>
        <v>0</v>
      </c>
      <c r="S102" s="18">
        <f t="shared" si="28"/>
        <v>0</v>
      </c>
      <c r="T102" s="19">
        <f t="shared" si="29"/>
        <v>0</v>
      </c>
    </row>
    <row r="103" spans="2:21" x14ac:dyDescent="0.4">
      <c r="B103" s="6" t="s">
        <v>216</v>
      </c>
      <c r="C103" s="20" t="s">
        <v>217</v>
      </c>
      <c r="D103" s="17">
        <f>VLOOKUP(B103,BS!$A:$S,18,FALSE)-VLOOKUP(B103,BS!$A:$S,$C$1+5,FALSE)-VLOOKUP(B103,BS!$A:$S,$C$1+4,FALSE)</f>
        <v>0</v>
      </c>
      <c r="E103" s="17">
        <f>VLOOKUP(B103,BS!$A:$S,18,FALSE)-VLOOKUP(B103,BS!$A:$S,$C$1+5,FALSE)</f>
        <v>0</v>
      </c>
      <c r="F103" s="17">
        <f>VLOOKUP(B103,BS!$A:$S,18,FALSE)</f>
        <v>0</v>
      </c>
      <c r="G103" s="18">
        <f t="shared" si="22"/>
        <v>0</v>
      </c>
      <c r="H103" s="19">
        <f t="shared" si="23"/>
        <v>0</v>
      </c>
      <c r="I103" s="18">
        <f t="shared" si="24"/>
        <v>0</v>
      </c>
      <c r="J103" s="19">
        <f t="shared" si="25"/>
        <v>0</v>
      </c>
      <c r="L103" s="6" t="s">
        <v>612</v>
      </c>
      <c r="M103" s="20" t="s">
        <v>613</v>
      </c>
      <c r="N103" s="17">
        <f>VLOOKUP(L103,PL!$A:$S,$C$1+3,FALSE)</f>
        <v>0</v>
      </c>
      <c r="O103" s="17">
        <f>VLOOKUP(L103,PL!$A:$S,$C$1+4,FALSE)</f>
        <v>0</v>
      </c>
      <c r="P103" s="17">
        <f>VLOOKUP(L103,PL!$A:$S,$C$1+5,FALSE)</f>
        <v>0</v>
      </c>
      <c r="Q103" s="18">
        <f t="shared" si="26"/>
        <v>0</v>
      </c>
      <c r="R103" s="19">
        <f t="shared" si="27"/>
        <v>0</v>
      </c>
      <c r="S103" s="18">
        <f t="shared" si="28"/>
        <v>0</v>
      </c>
      <c r="T103" s="19">
        <f t="shared" si="29"/>
        <v>0</v>
      </c>
      <c r="U103" s="9" t="s">
        <v>736</v>
      </c>
    </row>
    <row r="104" spans="2:21" x14ac:dyDescent="0.4">
      <c r="B104" s="6" t="s">
        <v>218</v>
      </c>
      <c r="C104" s="20" t="s">
        <v>219</v>
      </c>
      <c r="D104" s="17">
        <f>VLOOKUP(B104,BS!$A:$S,18,FALSE)-VLOOKUP(B104,BS!$A:$S,$C$1+5,FALSE)-VLOOKUP(B104,BS!$A:$S,$C$1+4,FALSE)</f>
        <v>0</v>
      </c>
      <c r="E104" s="17">
        <f>VLOOKUP(B104,BS!$A:$S,18,FALSE)-VLOOKUP(B104,BS!$A:$S,$C$1+5,FALSE)</f>
        <v>0</v>
      </c>
      <c r="F104" s="17">
        <f>VLOOKUP(B104,BS!$A:$S,18,FALSE)</f>
        <v>0</v>
      </c>
      <c r="G104" s="18">
        <f t="shared" si="22"/>
        <v>0</v>
      </c>
      <c r="H104" s="19">
        <f t="shared" si="23"/>
        <v>0</v>
      </c>
      <c r="I104" s="18">
        <f t="shared" si="24"/>
        <v>0</v>
      </c>
      <c r="J104" s="19">
        <f t="shared" si="25"/>
        <v>0</v>
      </c>
      <c r="L104" s="6" t="s">
        <v>614</v>
      </c>
      <c r="M104" s="20" t="s">
        <v>615</v>
      </c>
      <c r="N104" s="17">
        <f>VLOOKUP(L104,PL!$A:$S,$C$1+3,FALSE)</f>
        <v>0</v>
      </c>
      <c r="O104" s="17">
        <f>VLOOKUP(L104,PL!$A:$S,$C$1+4,FALSE)</f>
        <v>0</v>
      </c>
      <c r="P104" s="17">
        <f>VLOOKUP(L104,PL!$A:$S,$C$1+5,FALSE)</f>
        <v>0</v>
      </c>
      <c r="Q104" s="18">
        <f t="shared" si="26"/>
        <v>0</v>
      </c>
      <c r="R104" s="19">
        <f t="shared" si="27"/>
        <v>0</v>
      </c>
      <c r="S104" s="18">
        <f t="shared" si="28"/>
        <v>0</v>
      </c>
      <c r="T104" s="19">
        <f t="shared" si="29"/>
        <v>0</v>
      </c>
    </row>
    <row r="105" spans="2:21" x14ac:dyDescent="0.4">
      <c r="B105" s="6" t="s">
        <v>220</v>
      </c>
      <c r="C105" s="20" t="s">
        <v>221</v>
      </c>
      <c r="D105" s="17">
        <f>VLOOKUP(B105,BS!$A:$S,18,FALSE)-VLOOKUP(B105,BS!$A:$S,$C$1+5,FALSE)-VLOOKUP(B105,BS!$A:$S,$C$1+4,FALSE)</f>
        <v>54518310.759999998</v>
      </c>
      <c r="E105" s="17">
        <f>VLOOKUP(B105,BS!$A:$S,18,FALSE)-VLOOKUP(B105,BS!$A:$S,$C$1+5,FALSE)</f>
        <v>53544769.5</v>
      </c>
      <c r="F105" s="17">
        <f>VLOOKUP(B105,BS!$A:$S,18,FALSE)</f>
        <v>52571228.240000002</v>
      </c>
      <c r="G105" s="18">
        <f t="shared" si="22"/>
        <v>-973541.25999999791</v>
      </c>
      <c r="H105" s="19">
        <f t="shared" si="23"/>
        <v>-1.7857142791634029E-2</v>
      </c>
      <c r="I105" s="18">
        <f t="shared" si="24"/>
        <v>-973541.25999999791</v>
      </c>
      <c r="J105" s="19">
        <f t="shared" si="25"/>
        <v>-1.8181818113905561E-2</v>
      </c>
      <c r="L105" s="6" t="s">
        <v>616</v>
      </c>
      <c r="M105" s="20" t="s">
        <v>617</v>
      </c>
      <c r="N105" s="17">
        <f>VLOOKUP(L105,PL!$A:$S,$C$1+3,FALSE)</f>
        <v>0</v>
      </c>
      <c r="O105" s="17">
        <f>VLOOKUP(L105,PL!$A:$S,$C$1+4,FALSE)</f>
        <v>0</v>
      </c>
      <c r="P105" s="17">
        <f>VLOOKUP(L105,PL!$A:$S,$C$1+5,FALSE)</f>
        <v>0</v>
      </c>
      <c r="Q105" s="18">
        <f t="shared" si="26"/>
        <v>0</v>
      </c>
      <c r="R105" s="19">
        <f t="shared" si="27"/>
        <v>0</v>
      </c>
      <c r="S105" s="18">
        <f t="shared" si="28"/>
        <v>0</v>
      </c>
      <c r="T105" s="19">
        <f t="shared" si="29"/>
        <v>0</v>
      </c>
    </row>
    <row r="106" spans="2:21" x14ac:dyDescent="0.4">
      <c r="B106" s="6" t="s">
        <v>222</v>
      </c>
      <c r="C106" s="20" t="s">
        <v>223</v>
      </c>
      <c r="D106" s="17">
        <f>VLOOKUP(B106,BS!$A:$S,18,FALSE)-VLOOKUP(B106,BS!$A:$S,$C$1+5,FALSE)-VLOOKUP(B106,BS!$A:$S,$C$1+4,FALSE)</f>
        <v>0</v>
      </c>
      <c r="E106" s="17">
        <f>VLOOKUP(B106,BS!$A:$S,18,FALSE)-VLOOKUP(B106,BS!$A:$S,$C$1+5,FALSE)</f>
        <v>0</v>
      </c>
      <c r="F106" s="17">
        <f>VLOOKUP(B106,BS!$A:$S,18,FALSE)</f>
        <v>0</v>
      </c>
      <c r="G106" s="18">
        <f t="shared" si="22"/>
        <v>0</v>
      </c>
      <c r="H106" s="19">
        <f t="shared" si="23"/>
        <v>0</v>
      </c>
      <c r="I106" s="18">
        <f t="shared" si="24"/>
        <v>0</v>
      </c>
      <c r="J106" s="19">
        <f t="shared" si="25"/>
        <v>0</v>
      </c>
      <c r="L106" s="6" t="s">
        <v>618</v>
      </c>
      <c r="M106" s="20" t="s">
        <v>619</v>
      </c>
      <c r="N106" s="17">
        <f>VLOOKUP(L106,PL!$A:$S,$C$1+3,FALSE)</f>
        <v>0</v>
      </c>
      <c r="O106" s="17">
        <f>VLOOKUP(L106,PL!$A:$S,$C$1+4,FALSE)</f>
        <v>0</v>
      </c>
      <c r="P106" s="17">
        <f>VLOOKUP(L106,PL!$A:$S,$C$1+5,FALSE)</f>
        <v>0</v>
      </c>
      <c r="Q106" s="18">
        <f t="shared" si="26"/>
        <v>0</v>
      </c>
      <c r="R106" s="19">
        <f t="shared" si="27"/>
        <v>0</v>
      </c>
      <c r="S106" s="18">
        <f t="shared" si="28"/>
        <v>0</v>
      </c>
      <c r="T106" s="19">
        <f t="shared" si="29"/>
        <v>0</v>
      </c>
    </row>
    <row r="107" spans="2:21" x14ac:dyDescent="0.4">
      <c r="B107" s="15" t="s">
        <v>224</v>
      </c>
      <c r="C107" s="16" t="s">
        <v>225</v>
      </c>
      <c r="D107" s="17">
        <f>VLOOKUP(B107,BS!$A:$S,18,FALSE)-VLOOKUP(B107,BS!$A:$S,$C$1+5,FALSE)-VLOOKUP(B107,BS!$A:$S,$C$1+4,FALSE)</f>
        <v>0</v>
      </c>
      <c r="E107" s="17">
        <f>VLOOKUP(B107,BS!$A:$S,18,FALSE)-VLOOKUP(B107,BS!$A:$S,$C$1+5,FALSE)</f>
        <v>0</v>
      </c>
      <c r="F107" s="17">
        <f>VLOOKUP(B107,BS!$A:$S,18,FALSE)</f>
        <v>0</v>
      </c>
      <c r="G107" s="18">
        <f t="shared" si="22"/>
        <v>0</v>
      </c>
      <c r="H107" s="19">
        <f t="shared" si="23"/>
        <v>0</v>
      </c>
      <c r="I107" s="18">
        <f t="shared" si="24"/>
        <v>0</v>
      </c>
      <c r="J107" s="19">
        <f t="shared" si="25"/>
        <v>0</v>
      </c>
      <c r="L107" s="6" t="s">
        <v>620</v>
      </c>
      <c r="M107" s="20" t="s">
        <v>621</v>
      </c>
      <c r="N107" s="17">
        <f>VLOOKUP(L107,PL!$A:$S,$C$1+3,FALSE)</f>
        <v>0</v>
      </c>
      <c r="O107" s="17">
        <f>VLOOKUP(L107,PL!$A:$S,$C$1+4,FALSE)</f>
        <v>0</v>
      </c>
      <c r="P107" s="17">
        <f>VLOOKUP(L107,PL!$A:$S,$C$1+5,FALSE)</f>
        <v>0</v>
      </c>
      <c r="Q107" s="18">
        <f t="shared" si="26"/>
        <v>0</v>
      </c>
      <c r="R107" s="19">
        <f t="shared" si="27"/>
        <v>0</v>
      </c>
      <c r="S107" s="18">
        <f t="shared" si="28"/>
        <v>0</v>
      </c>
      <c r="T107" s="19">
        <f t="shared" si="29"/>
        <v>0</v>
      </c>
    </row>
    <row r="108" spans="2:21" x14ac:dyDescent="0.4">
      <c r="B108" s="6" t="s">
        <v>226</v>
      </c>
      <c r="C108" s="20" t="s">
        <v>227</v>
      </c>
      <c r="D108" s="17">
        <f>VLOOKUP(B108,BS!$A:$S,18,FALSE)-VLOOKUP(B108,BS!$A:$S,$C$1+5,FALSE)-VLOOKUP(B108,BS!$A:$S,$C$1+4,FALSE)</f>
        <v>0</v>
      </c>
      <c r="E108" s="17">
        <f>VLOOKUP(B108,BS!$A:$S,18,FALSE)-VLOOKUP(B108,BS!$A:$S,$C$1+5,FALSE)</f>
        <v>0</v>
      </c>
      <c r="F108" s="17">
        <f>VLOOKUP(B108,BS!$A:$S,18,FALSE)</f>
        <v>0</v>
      </c>
      <c r="G108" s="18">
        <f t="shared" si="22"/>
        <v>0</v>
      </c>
      <c r="H108" s="19">
        <f t="shared" si="23"/>
        <v>0</v>
      </c>
      <c r="I108" s="18">
        <f t="shared" si="24"/>
        <v>0</v>
      </c>
      <c r="J108" s="19">
        <f t="shared" si="25"/>
        <v>0</v>
      </c>
      <c r="L108" s="6" t="s">
        <v>622</v>
      </c>
      <c r="M108" s="20" t="s">
        <v>623</v>
      </c>
      <c r="N108" s="17">
        <f>VLOOKUP(L108,PL!$A:$S,$C$1+3,FALSE)</f>
        <v>0</v>
      </c>
      <c r="O108" s="17">
        <f>VLOOKUP(L108,PL!$A:$S,$C$1+4,FALSE)</f>
        <v>0</v>
      </c>
      <c r="P108" s="17">
        <f>VLOOKUP(L108,PL!$A:$S,$C$1+5,FALSE)</f>
        <v>0</v>
      </c>
      <c r="Q108" s="18">
        <f t="shared" si="26"/>
        <v>0</v>
      </c>
      <c r="R108" s="19">
        <f t="shared" si="27"/>
        <v>0</v>
      </c>
      <c r="S108" s="18">
        <f t="shared" si="28"/>
        <v>0</v>
      </c>
      <c r="T108" s="19">
        <f t="shared" si="29"/>
        <v>0</v>
      </c>
      <c r="U108" s="30"/>
    </row>
    <row r="109" spans="2:21" x14ac:dyDescent="0.4">
      <c r="B109" s="6" t="s">
        <v>228</v>
      </c>
      <c r="C109" s="20" t="s">
        <v>229</v>
      </c>
      <c r="D109" s="17">
        <f>VLOOKUP(B109,BS!$A:$S,18,FALSE)-VLOOKUP(B109,BS!$A:$S,$C$1+5,FALSE)-VLOOKUP(B109,BS!$A:$S,$C$1+4,FALSE)</f>
        <v>0</v>
      </c>
      <c r="E109" s="17">
        <f>VLOOKUP(B109,BS!$A:$S,18,FALSE)-VLOOKUP(B109,BS!$A:$S,$C$1+5,FALSE)</f>
        <v>0</v>
      </c>
      <c r="F109" s="17">
        <f>VLOOKUP(B109,BS!$A:$S,18,FALSE)</f>
        <v>0</v>
      </c>
      <c r="G109" s="18">
        <f t="shared" si="22"/>
        <v>0</v>
      </c>
      <c r="H109" s="19">
        <f t="shared" si="23"/>
        <v>0</v>
      </c>
      <c r="I109" s="18">
        <f t="shared" si="24"/>
        <v>0</v>
      </c>
      <c r="J109" s="19">
        <f t="shared" si="25"/>
        <v>0</v>
      </c>
      <c r="L109" s="6" t="s">
        <v>624</v>
      </c>
      <c r="M109" s="20" t="s">
        <v>355</v>
      </c>
      <c r="N109" s="17">
        <f>VLOOKUP(L109,PL!$A:$S,$C$1+3,FALSE)</f>
        <v>0</v>
      </c>
      <c r="O109" s="17">
        <f>VLOOKUP(L109,PL!$A:$S,$C$1+4,FALSE)</f>
        <v>0</v>
      </c>
      <c r="P109" s="17">
        <f>VLOOKUP(L109,PL!$A:$S,$C$1+5,FALSE)</f>
        <v>0</v>
      </c>
      <c r="Q109" s="18">
        <f t="shared" si="26"/>
        <v>0</v>
      </c>
      <c r="R109" s="19">
        <f t="shared" si="27"/>
        <v>0</v>
      </c>
      <c r="S109" s="18">
        <f t="shared" si="28"/>
        <v>0</v>
      </c>
      <c r="T109" s="19">
        <f t="shared" si="29"/>
        <v>0</v>
      </c>
    </row>
    <row r="110" spans="2:21" x14ac:dyDescent="0.4">
      <c r="B110" s="6" t="s">
        <v>230</v>
      </c>
      <c r="C110" s="20" t="s">
        <v>231</v>
      </c>
      <c r="D110" s="17">
        <f>VLOOKUP(B110,BS!$A:$S,18,FALSE)-VLOOKUP(B110,BS!$A:$S,$C$1+5,FALSE)-VLOOKUP(B110,BS!$A:$S,$C$1+4,FALSE)</f>
        <v>0</v>
      </c>
      <c r="E110" s="17">
        <f>VLOOKUP(B110,BS!$A:$S,18,FALSE)-VLOOKUP(B110,BS!$A:$S,$C$1+5,FALSE)</f>
        <v>0</v>
      </c>
      <c r="F110" s="17">
        <f>VLOOKUP(B110,BS!$A:$S,18,FALSE)</f>
        <v>0</v>
      </c>
      <c r="G110" s="18">
        <f t="shared" si="22"/>
        <v>0</v>
      </c>
      <c r="H110" s="19">
        <f t="shared" si="23"/>
        <v>0</v>
      </c>
      <c r="I110" s="18">
        <f t="shared" si="24"/>
        <v>0</v>
      </c>
      <c r="J110" s="19">
        <f t="shared" si="25"/>
        <v>0</v>
      </c>
      <c r="L110" s="6" t="s">
        <v>625</v>
      </c>
      <c r="M110" s="20" t="s">
        <v>626</v>
      </c>
      <c r="N110" s="17">
        <f>VLOOKUP(L110,PL!$A:$S,$C$1+3,FALSE)</f>
        <v>0</v>
      </c>
      <c r="O110" s="17">
        <f>VLOOKUP(L110,PL!$A:$S,$C$1+4,FALSE)</f>
        <v>0</v>
      </c>
      <c r="P110" s="17">
        <f>VLOOKUP(L110,PL!$A:$S,$C$1+5,FALSE)</f>
        <v>0</v>
      </c>
      <c r="Q110" s="18">
        <f t="shared" si="26"/>
        <v>0</v>
      </c>
      <c r="R110" s="19">
        <f t="shared" si="27"/>
        <v>0</v>
      </c>
      <c r="S110" s="18">
        <f t="shared" si="28"/>
        <v>0</v>
      </c>
      <c r="T110" s="19">
        <f t="shared" si="29"/>
        <v>0</v>
      </c>
    </row>
    <row r="111" spans="2:21" x14ac:dyDescent="0.4">
      <c r="B111" s="6" t="s">
        <v>232</v>
      </c>
      <c r="C111" s="20" t="s">
        <v>233</v>
      </c>
      <c r="D111" s="17">
        <f>VLOOKUP(B111,BS!$A:$S,18,FALSE)-VLOOKUP(B111,BS!$A:$S,$C$1+5,FALSE)-VLOOKUP(B111,BS!$A:$S,$C$1+4,FALSE)</f>
        <v>0</v>
      </c>
      <c r="E111" s="17">
        <f>VLOOKUP(B111,BS!$A:$S,18,FALSE)-VLOOKUP(B111,BS!$A:$S,$C$1+5,FALSE)</f>
        <v>0</v>
      </c>
      <c r="F111" s="17">
        <f>VLOOKUP(B111,BS!$A:$S,18,FALSE)</f>
        <v>0</v>
      </c>
      <c r="G111" s="18">
        <f t="shared" si="22"/>
        <v>0</v>
      </c>
      <c r="H111" s="19">
        <f t="shared" si="23"/>
        <v>0</v>
      </c>
      <c r="I111" s="18">
        <f t="shared" si="24"/>
        <v>0</v>
      </c>
      <c r="J111" s="19">
        <f t="shared" si="25"/>
        <v>0</v>
      </c>
      <c r="L111" s="15" t="s">
        <v>627</v>
      </c>
      <c r="M111" s="16" t="s">
        <v>628</v>
      </c>
      <c r="N111" s="17">
        <f>VLOOKUP(L111,PL!$A:$S,$C$1+3,FALSE)</f>
        <v>1126939216.8800001</v>
      </c>
      <c r="O111" s="17">
        <f>VLOOKUP(L111,PL!$A:$S,$C$1+4,FALSE)</f>
        <v>456083558.45999998</v>
      </c>
      <c r="P111" s="17">
        <f>VLOOKUP(L111,PL!$A:$S,$C$1+5,FALSE)</f>
        <v>659415149.70000005</v>
      </c>
      <c r="Q111" s="18">
        <f t="shared" si="26"/>
        <v>-670855658.42000008</v>
      </c>
      <c r="R111" s="19">
        <f t="shared" si="27"/>
        <v>-0.59529001065142173</v>
      </c>
      <c r="S111" s="18">
        <f t="shared" si="28"/>
        <v>203331591.24000007</v>
      </c>
      <c r="T111" s="19">
        <f t="shared" si="29"/>
        <v>0.44582091914596589</v>
      </c>
    </row>
    <row r="112" spans="2:21" x14ac:dyDescent="0.4">
      <c r="B112" s="6" t="s">
        <v>234</v>
      </c>
      <c r="C112" s="20" t="s">
        <v>235</v>
      </c>
      <c r="D112" s="17">
        <f>VLOOKUP(B112,BS!$A:$S,18,FALSE)-VLOOKUP(B112,BS!$A:$S,$C$1+5,FALSE)-VLOOKUP(B112,BS!$A:$S,$C$1+4,FALSE)</f>
        <v>0</v>
      </c>
      <c r="E112" s="17">
        <f>VLOOKUP(B112,BS!$A:$S,18,FALSE)-VLOOKUP(B112,BS!$A:$S,$C$1+5,FALSE)</f>
        <v>0</v>
      </c>
      <c r="F112" s="17">
        <f>VLOOKUP(B112,BS!$A:$S,18,FALSE)</f>
        <v>0</v>
      </c>
      <c r="G112" s="18">
        <f t="shared" si="22"/>
        <v>0</v>
      </c>
      <c r="H112" s="19">
        <f t="shared" si="23"/>
        <v>0</v>
      </c>
      <c r="I112" s="18">
        <f t="shared" si="24"/>
        <v>0</v>
      </c>
      <c r="J112" s="19">
        <f t="shared" si="25"/>
        <v>0</v>
      </c>
      <c r="L112" s="6" t="s">
        <v>629</v>
      </c>
      <c r="M112" s="20" t="s">
        <v>630</v>
      </c>
      <c r="N112" s="17">
        <f>VLOOKUP(L112,PL!$A:$S,$C$1+3,FALSE)</f>
        <v>0</v>
      </c>
      <c r="O112" s="17">
        <f>VLOOKUP(L112,PL!$A:$S,$C$1+4,FALSE)</f>
        <v>0</v>
      </c>
      <c r="P112" s="17">
        <f>VLOOKUP(L112,PL!$A:$S,$C$1+5,FALSE)</f>
        <v>18932363</v>
      </c>
      <c r="Q112" s="18">
        <f t="shared" si="26"/>
        <v>0</v>
      </c>
      <c r="R112" s="19">
        <f t="shared" si="27"/>
        <v>0</v>
      </c>
      <c r="S112" s="18">
        <f t="shared" si="28"/>
        <v>18932363</v>
      </c>
      <c r="T112" s="19">
        <f t="shared" si="29"/>
        <v>0</v>
      </c>
    </row>
    <row r="113" spans="2:20" x14ac:dyDescent="0.4">
      <c r="B113" s="15" t="s">
        <v>236</v>
      </c>
      <c r="C113" s="16" t="s">
        <v>237</v>
      </c>
      <c r="D113" s="17">
        <f>VLOOKUP(B113,BS!$A:$S,18,FALSE)-VLOOKUP(B113,BS!$A:$S,$C$1+5,FALSE)-VLOOKUP(B113,BS!$A:$S,$C$1+4,FALSE)</f>
        <v>67591352869.170006</v>
      </c>
      <c r="E113" s="17">
        <f>VLOOKUP(B113,BS!$A:$S,18,FALSE)-VLOOKUP(B113,BS!$A:$S,$C$1+5,FALSE)</f>
        <v>66840142219.130005</v>
      </c>
      <c r="F113" s="17">
        <f>VLOOKUP(B113,BS!$A:$S,18,FALSE)</f>
        <v>69311262949.570007</v>
      </c>
      <c r="G113" s="18">
        <f t="shared" si="22"/>
        <v>-751210650.04000092</v>
      </c>
      <c r="H113" s="19">
        <f t="shared" si="23"/>
        <v>-1.1114005241085294E-2</v>
      </c>
      <c r="I113" s="18">
        <f t="shared" si="24"/>
        <v>2471120730.4400024</v>
      </c>
      <c r="J113" s="19">
        <f t="shared" si="25"/>
        <v>3.6970608505568894E-2</v>
      </c>
      <c r="L113" s="6" t="s">
        <v>631</v>
      </c>
      <c r="M113" s="20" t="s">
        <v>632</v>
      </c>
      <c r="N113" s="17">
        <f>VLOOKUP(L113,PL!$A:$S,$C$1+3,FALSE)</f>
        <v>0</v>
      </c>
      <c r="O113" s="17">
        <f>VLOOKUP(L113,PL!$A:$S,$C$1+4,FALSE)</f>
        <v>0</v>
      </c>
      <c r="P113" s="17">
        <f>VLOOKUP(L113,PL!$A:$S,$C$1+5,FALSE)</f>
        <v>0</v>
      </c>
      <c r="Q113" s="18">
        <f t="shared" si="26"/>
        <v>0</v>
      </c>
      <c r="R113" s="19">
        <f t="shared" si="27"/>
        <v>0</v>
      </c>
      <c r="S113" s="18">
        <f t="shared" si="28"/>
        <v>0</v>
      </c>
      <c r="T113" s="19">
        <f t="shared" si="29"/>
        <v>0</v>
      </c>
    </row>
    <row r="114" spans="2:20" x14ac:dyDescent="0.4">
      <c r="B114" s="15" t="s">
        <v>238</v>
      </c>
      <c r="C114" s="16" t="s">
        <v>239</v>
      </c>
      <c r="D114" s="17">
        <f>VLOOKUP(B114,BS!$A:$S,18,FALSE)-VLOOKUP(B114,BS!$A:$S,$C$1+5,FALSE)-VLOOKUP(B114,BS!$A:$S,$C$1+4,FALSE)</f>
        <v>67448269819.169998</v>
      </c>
      <c r="E114" s="17">
        <f>VLOOKUP(B114,BS!$A:$S,18,FALSE)-VLOOKUP(B114,BS!$A:$S,$C$1+5,FALSE)</f>
        <v>66697059169.129997</v>
      </c>
      <c r="F114" s="17">
        <f>VLOOKUP(B114,BS!$A:$S,18,FALSE)</f>
        <v>66075945430.57</v>
      </c>
      <c r="G114" s="18">
        <f t="shared" si="22"/>
        <v>-751210650.04000092</v>
      </c>
      <c r="H114" s="19">
        <f t="shared" si="23"/>
        <v>-1.1137582210099828E-2</v>
      </c>
      <c r="I114" s="18">
        <f t="shared" si="24"/>
        <v>-621113738.55999756</v>
      </c>
      <c r="J114" s="19">
        <f t="shared" si="25"/>
        <v>-9.3124606436541836E-3</v>
      </c>
      <c r="L114" s="6" t="s">
        <v>633</v>
      </c>
      <c r="M114" s="20" t="s">
        <v>634</v>
      </c>
      <c r="N114" s="17">
        <f>VLOOKUP(L114,PL!$A:$S,$C$1+3,FALSE)</f>
        <v>22052995.960000001</v>
      </c>
      <c r="O114" s="17">
        <f>VLOOKUP(L114,PL!$A:$S,$C$1+4,FALSE)</f>
        <v>16288875.41</v>
      </c>
      <c r="P114" s="17">
        <f>VLOOKUP(L114,PL!$A:$S,$C$1+5,FALSE)</f>
        <v>17946667.440000001</v>
      </c>
      <c r="Q114" s="18">
        <f t="shared" si="26"/>
        <v>-5764120.5500000007</v>
      </c>
      <c r="R114" s="19">
        <f t="shared" si="27"/>
        <v>-0.26137584936101355</v>
      </c>
      <c r="S114" s="18">
        <f t="shared" si="28"/>
        <v>1657792.0300000012</v>
      </c>
      <c r="T114" s="19">
        <f t="shared" si="29"/>
        <v>0.10177449260752872</v>
      </c>
    </row>
    <row r="115" spans="2:20" x14ac:dyDescent="0.4">
      <c r="B115" s="6" t="s">
        <v>240</v>
      </c>
      <c r="C115" s="20" t="s">
        <v>241</v>
      </c>
      <c r="D115" s="17">
        <f>VLOOKUP(B115,BS!$A:$S,18,FALSE)-VLOOKUP(B115,BS!$A:$S,$C$1+5,FALSE)-VLOOKUP(B115,BS!$A:$S,$C$1+4,FALSE)</f>
        <v>62523600958.210007</v>
      </c>
      <c r="E115" s="17">
        <f>VLOOKUP(B115,BS!$A:$S,18,FALSE)-VLOOKUP(B115,BS!$A:$S,$C$1+5,FALSE)</f>
        <v>61428445644.890007</v>
      </c>
      <c r="F115" s="17">
        <f>VLOOKUP(B115,BS!$A:$S,18,FALSE)</f>
        <v>59618934684.160004</v>
      </c>
      <c r="G115" s="18">
        <f t="shared" si="22"/>
        <v>-1095155313.3199997</v>
      </c>
      <c r="H115" s="19">
        <f t="shared" si="23"/>
        <v>-1.7515870751782001E-2</v>
      </c>
      <c r="I115" s="18">
        <f t="shared" si="24"/>
        <v>-1809510960.7300034</v>
      </c>
      <c r="J115" s="19">
        <f t="shared" si="25"/>
        <v>-2.9457215492486248E-2</v>
      </c>
      <c r="L115" s="6" t="s">
        <v>635</v>
      </c>
      <c r="M115" s="20" t="s">
        <v>636</v>
      </c>
      <c r="N115" s="17">
        <f>VLOOKUP(L115,PL!$A:$S,$C$1+3,FALSE)</f>
        <v>1104886220.9200001</v>
      </c>
      <c r="O115" s="17">
        <f>VLOOKUP(L115,PL!$A:$S,$C$1+4,FALSE)</f>
        <v>439794683.05000001</v>
      </c>
      <c r="P115" s="17">
        <f>VLOOKUP(L115,PL!$A:$S,$C$1+5,FALSE)</f>
        <v>622536119.25999999</v>
      </c>
      <c r="Q115" s="18">
        <f t="shared" si="26"/>
        <v>-665091537.87000012</v>
      </c>
      <c r="R115" s="19">
        <f t="shared" si="27"/>
        <v>-0.60195477622682425</v>
      </c>
      <c r="S115" s="18">
        <f t="shared" si="28"/>
        <v>182741436.20999998</v>
      </c>
      <c r="T115" s="19">
        <f t="shared" si="29"/>
        <v>0.41551533761772241</v>
      </c>
    </row>
    <row r="116" spans="2:20" x14ac:dyDescent="0.4">
      <c r="B116" s="6" t="s">
        <v>242</v>
      </c>
      <c r="C116" s="20" t="s">
        <v>243</v>
      </c>
      <c r="D116" s="17">
        <f>VLOOKUP(B116,BS!$A:$S,18,FALSE)-VLOOKUP(B116,BS!$A:$S,$C$1+5,FALSE)-VLOOKUP(B116,BS!$A:$S,$C$1+4,FALSE)</f>
        <v>0</v>
      </c>
      <c r="E116" s="17">
        <f>VLOOKUP(B116,BS!$A:$S,18,FALSE)-VLOOKUP(B116,BS!$A:$S,$C$1+5,FALSE)</f>
        <v>0</v>
      </c>
      <c r="F116" s="17">
        <f>VLOOKUP(B116,BS!$A:$S,18,FALSE)</f>
        <v>0</v>
      </c>
      <c r="G116" s="18">
        <f t="shared" si="22"/>
        <v>0</v>
      </c>
      <c r="H116" s="19">
        <f t="shared" si="23"/>
        <v>0</v>
      </c>
      <c r="I116" s="18">
        <f t="shared" si="24"/>
        <v>0</v>
      </c>
      <c r="J116" s="19">
        <f t="shared" si="25"/>
        <v>0</v>
      </c>
      <c r="L116" s="6" t="s">
        <v>637</v>
      </c>
      <c r="M116" s="20" t="s">
        <v>638</v>
      </c>
      <c r="N116" s="17">
        <f>VLOOKUP(L116,PL!$A:$S,$C$1+3,FALSE)</f>
        <v>0</v>
      </c>
      <c r="O116" s="17">
        <f>VLOOKUP(L116,PL!$A:$S,$C$1+4,FALSE)</f>
        <v>0</v>
      </c>
      <c r="P116" s="17">
        <f>VLOOKUP(L116,PL!$A:$S,$C$1+5,FALSE)</f>
        <v>0</v>
      </c>
      <c r="Q116" s="18">
        <f t="shared" si="26"/>
        <v>0</v>
      </c>
      <c r="R116" s="19">
        <f t="shared" si="27"/>
        <v>0</v>
      </c>
      <c r="S116" s="18">
        <f t="shared" si="28"/>
        <v>0</v>
      </c>
      <c r="T116" s="19">
        <f t="shared" si="29"/>
        <v>0</v>
      </c>
    </row>
    <row r="117" spans="2:20" x14ac:dyDescent="0.4">
      <c r="B117" s="6" t="s">
        <v>244</v>
      </c>
      <c r="C117" s="20" t="s">
        <v>245</v>
      </c>
      <c r="D117" s="17">
        <f>VLOOKUP(B117,BS!$A:$S,18,FALSE)-VLOOKUP(B117,BS!$A:$S,$C$1+5,FALSE)-VLOOKUP(B117,BS!$A:$S,$C$1+4,FALSE)</f>
        <v>0</v>
      </c>
      <c r="E117" s="17">
        <f>VLOOKUP(B117,BS!$A:$S,18,FALSE)-VLOOKUP(B117,BS!$A:$S,$C$1+5,FALSE)</f>
        <v>0</v>
      </c>
      <c r="F117" s="17">
        <f>VLOOKUP(B117,BS!$A:$S,18,FALSE)</f>
        <v>0</v>
      </c>
      <c r="G117" s="18">
        <f t="shared" si="22"/>
        <v>0</v>
      </c>
      <c r="H117" s="19">
        <f t="shared" si="23"/>
        <v>0</v>
      </c>
      <c r="I117" s="18">
        <f t="shared" si="24"/>
        <v>0</v>
      </c>
      <c r="J117" s="19">
        <f t="shared" si="25"/>
        <v>0</v>
      </c>
      <c r="L117" s="6" t="s">
        <v>639</v>
      </c>
      <c r="M117" s="20" t="s">
        <v>640</v>
      </c>
      <c r="N117" s="17">
        <f>VLOOKUP(L117,PL!$A:$S,$C$1+3,FALSE)</f>
        <v>0</v>
      </c>
      <c r="O117" s="17">
        <f>VLOOKUP(L117,PL!$A:$S,$C$1+4,FALSE)</f>
        <v>0</v>
      </c>
      <c r="P117" s="17">
        <f>VLOOKUP(L117,PL!$A:$S,$C$1+5,FALSE)</f>
        <v>0</v>
      </c>
      <c r="Q117" s="18">
        <f t="shared" si="26"/>
        <v>0</v>
      </c>
      <c r="R117" s="19">
        <f t="shared" si="27"/>
        <v>0</v>
      </c>
      <c r="S117" s="18">
        <f t="shared" si="28"/>
        <v>0</v>
      </c>
      <c r="T117" s="19">
        <f t="shared" si="29"/>
        <v>0</v>
      </c>
    </row>
    <row r="118" spans="2:20" x14ac:dyDescent="0.4">
      <c r="B118" s="6" t="s">
        <v>246</v>
      </c>
      <c r="C118" s="20" t="s">
        <v>247</v>
      </c>
      <c r="D118" s="17">
        <f>VLOOKUP(B118,BS!$A:$S,18,FALSE)-VLOOKUP(B118,BS!$A:$S,$C$1+5,FALSE)-VLOOKUP(B118,BS!$A:$S,$C$1+4,FALSE)</f>
        <v>0</v>
      </c>
      <c r="E118" s="17">
        <f>VLOOKUP(B118,BS!$A:$S,18,FALSE)-VLOOKUP(B118,BS!$A:$S,$C$1+5,FALSE)</f>
        <v>0</v>
      </c>
      <c r="F118" s="17">
        <f>VLOOKUP(B118,BS!$A:$S,18,FALSE)</f>
        <v>0</v>
      </c>
      <c r="G118" s="18">
        <f t="shared" si="22"/>
        <v>0</v>
      </c>
      <c r="H118" s="19">
        <f t="shared" si="23"/>
        <v>0</v>
      </c>
      <c r="I118" s="18">
        <f t="shared" si="24"/>
        <v>0</v>
      </c>
      <c r="J118" s="19">
        <f t="shared" si="25"/>
        <v>0</v>
      </c>
      <c r="L118" s="6" t="s">
        <v>641</v>
      </c>
      <c r="M118" s="20" t="s">
        <v>642</v>
      </c>
      <c r="N118" s="17">
        <f>VLOOKUP(L118,PL!$A:$S,$C$1+3,FALSE)</f>
        <v>0</v>
      </c>
      <c r="O118" s="17">
        <f>VLOOKUP(L118,PL!$A:$S,$C$1+4,FALSE)</f>
        <v>0</v>
      </c>
      <c r="P118" s="17">
        <f>VLOOKUP(L118,PL!$A:$S,$C$1+5,FALSE)</f>
        <v>0</v>
      </c>
      <c r="Q118" s="18">
        <f t="shared" si="26"/>
        <v>0</v>
      </c>
      <c r="R118" s="19">
        <f t="shared" si="27"/>
        <v>0</v>
      </c>
      <c r="S118" s="18">
        <f t="shared" si="28"/>
        <v>0</v>
      </c>
      <c r="T118" s="19">
        <f t="shared" si="29"/>
        <v>0</v>
      </c>
    </row>
    <row r="119" spans="2:20" x14ac:dyDescent="0.4">
      <c r="B119" s="6" t="s">
        <v>248</v>
      </c>
      <c r="C119" s="20" t="s">
        <v>249</v>
      </c>
      <c r="D119" s="17">
        <f>VLOOKUP(B119,BS!$A:$S,18,FALSE)-VLOOKUP(B119,BS!$A:$S,$C$1+5,FALSE)-VLOOKUP(B119,BS!$A:$S,$C$1+4,FALSE)</f>
        <v>0</v>
      </c>
      <c r="E119" s="17">
        <f>VLOOKUP(B119,BS!$A:$S,18,FALSE)-VLOOKUP(B119,BS!$A:$S,$C$1+5,FALSE)</f>
        <v>0</v>
      </c>
      <c r="F119" s="17">
        <f>VLOOKUP(B119,BS!$A:$S,18,FALSE)</f>
        <v>0</v>
      </c>
      <c r="G119" s="18">
        <f t="shared" si="22"/>
        <v>0</v>
      </c>
      <c r="H119" s="19">
        <f t="shared" si="23"/>
        <v>0</v>
      </c>
      <c r="I119" s="18">
        <f t="shared" si="24"/>
        <v>0</v>
      </c>
      <c r="J119" s="19">
        <f t="shared" si="25"/>
        <v>0</v>
      </c>
      <c r="L119" s="6" t="s">
        <v>643</v>
      </c>
      <c r="M119" s="20" t="s">
        <v>644</v>
      </c>
      <c r="N119" s="17">
        <f>VLOOKUP(L119,PL!$A:$S,$C$1+3,FALSE)</f>
        <v>0</v>
      </c>
      <c r="O119" s="17">
        <f>VLOOKUP(L119,PL!$A:$S,$C$1+4,FALSE)</f>
        <v>0</v>
      </c>
      <c r="P119" s="17">
        <f>VLOOKUP(L119,PL!$A:$S,$C$1+5,FALSE)</f>
        <v>0</v>
      </c>
      <c r="Q119" s="18">
        <f t="shared" si="26"/>
        <v>0</v>
      </c>
      <c r="R119" s="19">
        <f t="shared" si="27"/>
        <v>0</v>
      </c>
      <c r="S119" s="18">
        <f t="shared" si="28"/>
        <v>0</v>
      </c>
      <c r="T119" s="19">
        <f t="shared" si="29"/>
        <v>0</v>
      </c>
    </row>
    <row r="120" spans="2:20" x14ac:dyDescent="0.4">
      <c r="B120" s="6" t="s">
        <v>250</v>
      </c>
      <c r="C120" s="20" t="s">
        <v>251</v>
      </c>
      <c r="D120" s="17">
        <f>VLOOKUP(B120,BS!$A:$S,18,FALSE)-VLOOKUP(B120,BS!$A:$S,$C$1+5,FALSE)-VLOOKUP(B120,BS!$A:$S,$C$1+4,FALSE)</f>
        <v>0</v>
      </c>
      <c r="E120" s="17">
        <f>VLOOKUP(B120,BS!$A:$S,18,FALSE)-VLOOKUP(B120,BS!$A:$S,$C$1+5,FALSE)</f>
        <v>0</v>
      </c>
      <c r="F120" s="17">
        <f>VLOOKUP(B120,BS!$A:$S,18,FALSE)</f>
        <v>0</v>
      </c>
      <c r="G120" s="18">
        <f t="shared" si="22"/>
        <v>0</v>
      </c>
      <c r="H120" s="19">
        <f t="shared" si="23"/>
        <v>0</v>
      </c>
      <c r="I120" s="18">
        <f t="shared" si="24"/>
        <v>0</v>
      </c>
      <c r="J120" s="19">
        <f t="shared" si="25"/>
        <v>0</v>
      </c>
      <c r="L120" s="6" t="s">
        <v>645</v>
      </c>
      <c r="M120" s="20" t="s">
        <v>646</v>
      </c>
      <c r="N120" s="17">
        <f>VLOOKUP(L120,PL!$A:$S,$C$1+3,FALSE)</f>
        <v>0</v>
      </c>
      <c r="O120" s="17">
        <f>VLOOKUP(L120,PL!$A:$S,$C$1+4,FALSE)</f>
        <v>0</v>
      </c>
      <c r="P120" s="17">
        <f>VLOOKUP(L120,PL!$A:$S,$C$1+5,FALSE)</f>
        <v>0</v>
      </c>
      <c r="Q120" s="18">
        <f t="shared" si="26"/>
        <v>0</v>
      </c>
      <c r="R120" s="19">
        <f t="shared" si="27"/>
        <v>0</v>
      </c>
      <c r="S120" s="18">
        <f t="shared" si="28"/>
        <v>0</v>
      </c>
      <c r="T120" s="19">
        <f t="shared" si="29"/>
        <v>0</v>
      </c>
    </row>
    <row r="121" spans="2:20" x14ac:dyDescent="0.4">
      <c r="B121" s="6" t="s">
        <v>252</v>
      </c>
      <c r="C121" s="20" t="s">
        <v>253</v>
      </c>
      <c r="D121" s="17">
        <f>VLOOKUP(B121,BS!$A:$S,18,FALSE)-VLOOKUP(B121,BS!$A:$S,$C$1+5,FALSE)-VLOOKUP(B121,BS!$A:$S,$C$1+4,FALSE)</f>
        <v>0</v>
      </c>
      <c r="E121" s="17">
        <f>VLOOKUP(B121,BS!$A:$S,18,FALSE)-VLOOKUP(B121,BS!$A:$S,$C$1+5,FALSE)</f>
        <v>0</v>
      </c>
      <c r="F121" s="17">
        <f>VLOOKUP(B121,BS!$A:$S,18,FALSE)</f>
        <v>0</v>
      </c>
      <c r="G121" s="18">
        <f t="shared" si="22"/>
        <v>0</v>
      </c>
      <c r="H121" s="19">
        <f t="shared" si="23"/>
        <v>0</v>
      </c>
      <c r="I121" s="18">
        <f t="shared" si="24"/>
        <v>0</v>
      </c>
      <c r="J121" s="19">
        <f t="shared" si="25"/>
        <v>0</v>
      </c>
      <c r="L121" s="6" t="s">
        <v>647</v>
      </c>
      <c r="M121" s="20" t="s">
        <v>648</v>
      </c>
      <c r="N121" s="17">
        <f>VLOOKUP(L121,PL!$A:$S,$C$1+3,FALSE)</f>
        <v>0</v>
      </c>
      <c r="O121" s="17">
        <f>VLOOKUP(L121,PL!$A:$S,$C$1+4,FALSE)</f>
        <v>0</v>
      </c>
      <c r="P121" s="17">
        <f>VLOOKUP(L121,PL!$A:$S,$C$1+5,FALSE)</f>
        <v>0</v>
      </c>
      <c r="Q121" s="18">
        <f t="shared" si="26"/>
        <v>0</v>
      </c>
      <c r="R121" s="19">
        <f t="shared" si="27"/>
        <v>0</v>
      </c>
      <c r="S121" s="18">
        <f t="shared" si="28"/>
        <v>0</v>
      </c>
      <c r="T121" s="19">
        <f t="shared" si="29"/>
        <v>0</v>
      </c>
    </row>
    <row r="122" spans="2:20" x14ac:dyDescent="0.4">
      <c r="B122" s="6" t="s">
        <v>254</v>
      </c>
      <c r="C122" s="20" t="s">
        <v>255</v>
      </c>
      <c r="D122" s="17">
        <f>VLOOKUP(B122,BS!$A:$S,18,FALSE)-VLOOKUP(B122,BS!$A:$S,$C$1+5,FALSE)-VLOOKUP(B122,BS!$A:$S,$C$1+4,FALSE)</f>
        <v>0</v>
      </c>
      <c r="E122" s="17">
        <f>VLOOKUP(B122,BS!$A:$S,18,FALSE)-VLOOKUP(B122,BS!$A:$S,$C$1+5,FALSE)</f>
        <v>0</v>
      </c>
      <c r="F122" s="17">
        <f>VLOOKUP(B122,BS!$A:$S,18,FALSE)</f>
        <v>0</v>
      </c>
      <c r="G122" s="18">
        <f t="shared" si="22"/>
        <v>0</v>
      </c>
      <c r="H122" s="19">
        <f t="shared" si="23"/>
        <v>0</v>
      </c>
      <c r="I122" s="18">
        <f t="shared" si="24"/>
        <v>0</v>
      </c>
      <c r="J122" s="19">
        <f t="shared" si="25"/>
        <v>0</v>
      </c>
      <c r="L122" s="6" t="s">
        <v>649</v>
      </c>
      <c r="M122" s="20" t="s">
        <v>650</v>
      </c>
      <c r="N122" s="17">
        <f>VLOOKUP(L122,PL!$A:$S,$C$1+3,FALSE)</f>
        <v>0</v>
      </c>
      <c r="O122" s="17">
        <f>VLOOKUP(L122,PL!$A:$S,$C$1+4,FALSE)</f>
        <v>0</v>
      </c>
      <c r="P122" s="17">
        <f>VLOOKUP(L122,PL!$A:$S,$C$1+5,FALSE)</f>
        <v>0</v>
      </c>
      <c r="Q122" s="18">
        <f t="shared" si="26"/>
        <v>0</v>
      </c>
      <c r="R122" s="19">
        <f t="shared" si="27"/>
        <v>0</v>
      </c>
      <c r="S122" s="18">
        <f t="shared" si="28"/>
        <v>0</v>
      </c>
      <c r="T122" s="19">
        <f t="shared" si="29"/>
        <v>0</v>
      </c>
    </row>
    <row r="123" spans="2:20" x14ac:dyDescent="0.4">
      <c r="B123" s="6" t="s">
        <v>256</v>
      </c>
      <c r="C123" s="20" t="s">
        <v>257</v>
      </c>
      <c r="D123" s="17">
        <f>VLOOKUP(B123,BS!$A:$S,18,FALSE)-VLOOKUP(B123,BS!$A:$S,$C$1+5,FALSE)-VLOOKUP(B123,BS!$A:$S,$C$1+4,FALSE)</f>
        <v>0</v>
      </c>
      <c r="E123" s="17">
        <f>VLOOKUP(B123,BS!$A:$S,18,FALSE)-VLOOKUP(B123,BS!$A:$S,$C$1+5,FALSE)</f>
        <v>0</v>
      </c>
      <c r="F123" s="17">
        <f>VLOOKUP(B123,BS!$A:$S,18,FALSE)</f>
        <v>0</v>
      </c>
      <c r="G123" s="18">
        <f t="shared" si="22"/>
        <v>0</v>
      </c>
      <c r="H123" s="19">
        <f t="shared" si="23"/>
        <v>0</v>
      </c>
      <c r="I123" s="18">
        <f t="shared" si="24"/>
        <v>0</v>
      </c>
      <c r="J123" s="19">
        <f t="shared" si="25"/>
        <v>0</v>
      </c>
      <c r="L123" s="6" t="s">
        <v>651</v>
      </c>
      <c r="M123" s="20" t="s">
        <v>652</v>
      </c>
      <c r="N123" s="17">
        <f>VLOOKUP(L123,PL!$A:$S,$C$1+3,FALSE)</f>
        <v>0</v>
      </c>
      <c r="O123" s="17">
        <f>VLOOKUP(L123,PL!$A:$S,$C$1+4,FALSE)</f>
        <v>0</v>
      </c>
      <c r="P123" s="17">
        <f>VLOOKUP(L123,PL!$A:$S,$C$1+5,FALSE)</f>
        <v>0</v>
      </c>
      <c r="Q123" s="18">
        <f t="shared" si="26"/>
        <v>0</v>
      </c>
      <c r="R123" s="19">
        <f t="shared" si="27"/>
        <v>0</v>
      </c>
      <c r="S123" s="18">
        <f t="shared" si="28"/>
        <v>0</v>
      </c>
      <c r="T123" s="19">
        <f t="shared" si="29"/>
        <v>0</v>
      </c>
    </row>
    <row r="124" spans="2:20" x14ac:dyDescent="0.4">
      <c r="B124" s="6" t="s">
        <v>258</v>
      </c>
      <c r="C124" s="20" t="s">
        <v>259</v>
      </c>
      <c r="D124" s="17">
        <f>VLOOKUP(B124,BS!$A:$S,18,FALSE)-VLOOKUP(B124,BS!$A:$S,$C$1+5,FALSE)-VLOOKUP(B124,BS!$A:$S,$C$1+4,FALSE)</f>
        <v>0</v>
      </c>
      <c r="E124" s="17">
        <f>VLOOKUP(B124,BS!$A:$S,18,FALSE)-VLOOKUP(B124,BS!$A:$S,$C$1+5,FALSE)</f>
        <v>0</v>
      </c>
      <c r="F124" s="17">
        <f>VLOOKUP(B124,BS!$A:$S,18,FALSE)</f>
        <v>0</v>
      </c>
      <c r="G124" s="18">
        <f t="shared" si="22"/>
        <v>0</v>
      </c>
      <c r="H124" s="19">
        <f t="shared" si="23"/>
        <v>0</v>
      </c>
      <c r="I124" s="18">
        <f t="shared" si="24"/>
        <v>0</v>
      </c>
      <c r="J124" s="19">
        <f t="shared" si="25"/>
        <v>0</v>
      </c>
      <c r="K124" s="31"/>
      <c r="L124" s="6" t="s">
        <v>653</v>
      </c>
      <c r="M124" s="20" t="s">
        <v>654</v>
      </c>
      <c r="N124" s="17">
        <f>VLOOKUP(L124,PL!$A:$S,$C$1+3,FALSE)</f>
        <v>0</v>
      </c>
      <c r="O124" s="17">
        <f>VLOOKUP(L124,PL!$A:$S,$C$1+4,FALSE)</f>
        <v>0</v>
      </c>
      <c r="P124" s="17">
        <f>VLOOKUP(L124,PL!$A:$S,$C$1+5,FALSE)</f>
        <v>0</v>
      </c>
      <c r="Q124" s="18">
        <f t="shared" si="26"/>
        <v>0</v>
      </c>
      <c r="R124" s="19">
        <f t="shared" si="27"/>
        <v>0</v>
      </c>
      <c r="S124" s="18">
        <f t="shared" si="28"/>
        <v>0</v>
      </c>
      <c r="T124" s="19">
        <f t="shared" si="29"/>
        <v>0</v>
      </c>
    </row>
    <row r="125" spans="2:20" x14ac:dyDescent="0.4">
      <c r="B125" s="6" t="s">
        <v>260</v>
      </c>
      <c r="C125" s="20" t="s">
        <v>261</v>
      </c>
      <c r="D125" s="17">
        <f>VLOOKUP(B125,BS!$A:$S,18,FALSE)-VLOOKUP(B125,BS!$A:$S,$C$1+5,FALSE)-VLOOKUP(B125,BS!$A:$S,$C$1+4,FALSE)</f>
        <v>220096941.47999999</v>
      </c>
      <c r="E125" s="17">
        <f>VLOOKUP(B125,BS!$A:$S,18,FALSE)-VLOOKUP(B125,BS!$A:$S,$C$1+5,FALSE)</f>
        <v>238524242.63999999</v>
      </c>
      <c r="F125" s="17">
        <f>VLOOKUP(B125,BS!$A:$S,18,FALSE)</f>
        <v>200562170.41</v>
      </c>
      <c r="G125" s="18">
        <f t="shared" si="22"/>
        <v>18427301.159999996</v>
      </c>
      <c r="H125" s="19">
        <f t="shared" si="23"/>
        <v>8.372356760656971E-2</v>
      </c>
      <c r="I125" s="18">
        <f t="shared" si="24"/>
        <v>-37962072.229999989</v>
      </c>
      <c r="J125" s="19">
        <f t="shared" si="25"/>
        <v>-0.1591539367648068</v>
      </c>
      <c r="K125" s="32" t="s">
        <v>727</v>
      </c>
      <c r="L125" s="6" t="s">
        <v>655</v>
      </c>
      <c r="M125" s="20" t="s">
        <v>656</v>
      </c>
      <c r="N125" s="17">
        <f>VLOOKUP(L125,PL!$A:$S,$C$1+3,FALSE)</f>
        <v>0</v>
      </c>
      <c r="O125" s="17">
        <f>VLOOKUP(L125,PL!$A:$S,$C$1+4,FALSE)</f>
        <v>0</v>
      </c>
      <c r="P125" s="17">
        <f>VLOOKUP(L125,PL!$A:$S,$C$1+5,FALSE)</f>
        <v>0</v>
      </c>
      <c r="Q125" s="18">
        <f t="shared" si="26"/>
        <v>0</v>
      </c>
      <c r="R125" s="19">
        <f t="shared" si="27"/>
        <v>0</v>
      </c>
      <c r="S125" s="18">
        <f t="shared" si="28"/>
        <v>0</v>
      </c>
      <c r="T125" s="19">
        <f t="shared" si="29"/>
        <v>0</v>
      </c>
    </row>
    <row r="126" spans="2:20" x14ac:dyDescent="0.4">
      <c r="B126" s="6" t="s">
        <v>262</v>
      </c>
      <c r="C126" s="20" t="s">
        <v>263</v>
      </c>
      <c r="D126" s="17">
        <f>VLOOKUP(B126,BS!$A:$S,18,FALSE)-VLOOKUP(B126,BS!$A:$S,$C$1+5,FALSE)-VLOOKUP(B126,BS!$A:$S,$C$1+4,FALSE)</f>
        <v>1937466432</v>
      </c>
      <c r="E126" s="17">
        <f>VLOOKUP(B126,BS!$A:$S,18,FALSE)-VLOOKUP(B126,BS!$A:$S,$C$1+5,FALSE)</f>
        <v>1970949514</v>
      </c>
      <c r="F126" s="17">
        <f>VLOOKUP(B126,BS!$A:$S,18,FALSE)</f>
        <v>1975709428</v>
      </c>
      <c r="G126" s="18">
        <f t="shared" si="22"/>
        <v>33483082</v>
      </c>
      <c r="H126" s="19">
        <f t="shared" si="23"/>
        <v>1.7281890125671089E-2</v>
      </c>
      <c r="I126" s="18">
        <f t="shared" si="24"/>
        <v>4759914</v>
      </c>
      <c r="J126" s="19">
        <f t="shared" si="25"/>
        <v>2.4150359845290285E-3</v>
      </c>
      <c r="L126" s="6" t="s">
        <v>657</v>
      </c>
      <c r="M126" s="20" t="s">
        <v>658</v>
      </c>
      <c r="N126" s="17">
        <f>VLOOKUP(L126,PL!$A:$S,$C$1+3,FALSE)</f>
        <v>0</v>
      </c>
      <c r="O126" s="17">
        <f>VLOOKUP(L126,PL!$A:$S,$C$1+4,FALSE)</f>
        <v>0</v>
      </c>
      <c r="P126" s="17">
        <f>VLOOKUP(L126,PL!$A:$S,$C$1+5,FALSE)</f>
        <v>0</v>
      </c>
      <c r="Q126" s="18">
        <f t="shared" si="26"/>
        <v>0</v>
      </c>
      <c r="R126" s="19">
        <f t="shared" si="27"/>
        <v>0</v>
      </c>
      <c r="S126" s="18">
        <f t="shared" si="28"/>
        <v>0</v>
      </c>
      <c r="T126" s="19">
        <f t="shared" si="29"/>
        <v>0</v>
      </c>
    </row>
    <row r="127" spans="2:20" x14ac:dyDescent="0.4">
      <c r="B127" s="6" t="s">
        <v>264</v>
      </c>
      <c r="C127" s="20" t="s">
        <v>265</v>
      </c>
      <c r="D127" s="17">
        <f>VLOOKUP(B127,BS!$A:$S,18,FALSE)-VLOOKUP(B127,BS!$A:$S,$C$1+5,FALSE)-VLOOKUP(B127,BS!$A:$S,$C$1+4,FALSE)</f>
        <v>0</v>
      </c>
      <c r="E127" s="17">
        <f>VLOOKUP(B127,BS!$A:$S,18,FALSE)-VLOOKUP(B127,BS!$A:$S,$C$1+5,FALSE)</f>
        <v>0</v>
      </c>
      <c r="F127" s="17">
        <f>VLOOKUP(B127,BS!$A:$S,18,FALSE)</f>
        <v>0</v>
      </c>
      <c r="G127" s="18">
        <f t="shared" si="22"/>
        <v>0</v>
      </c>
      <c r="H127" s="19">
        <f t="shared" si="23"/>
        <v>0</v>
      </c>
      <c r="I127" s="18">
        <f t="shared" si="24"/>
        <v>0</v>
      </c>
      <c r="J127" s="19">
        <f t="shared" si="25"/>
        <v>0</v>
      </c>
      <c r="L127" s="6" t="s">
        <v>659</v>
      </c>
      <c r="M127" s="20" t="s">
        <v>660</v>
      </c>
      <c r="N127" s="17">
        <f>VLOOKUP(L127,PL!$A:$S,$C$1+3,FALSE)</f>
        <v>0</v>
      </c>
      <c r="O127" s="17">
        <f>VLOOKUP(L127,PL!$A:$S,$C$1+4,FALSE)</f>
        <v>0</v>
      </c>
      <c r="P127" s="17">
        <f>VLOOKUP(L127,PL!$A:$S,$C$1+5,FALSE)</f>
        <v>0</v>
      </c>
      <c r="Q127" s="18">
        <f t="shared" si="26"/>
        <v>0</v>
      </c>
      <c r="R127" s="19">
        <f t="shared" si="27"/>
        <v>0</v>
      </c>
      <c r="S127" s="18">
        <f t="shared" si="28"/>
        <v>0</v>
      </c>
      <c r="T127" s="19">
        <f t="shared" si="29"/>
        <v>0</v>
      </c>
    </row>
    <row r="128" spans="2:20" x14ac:dyDescent="0.4">
      <c r="B128" s="6" t="s">
        <v>266</v>
      </c>
      <c r="C128" s="20" t="s">
        <v>267</v>
      </c>
      <c r="D128" s="17">
        <f>VLOOKUP(B128,BS!$A:$S,18,FALSE)-VLOOKUP(B128,BS!$A:$S,$C$1+5,FALSE)-VLOOKUP(B128,BS!$A:$S,$C$1+4,FALSE)</f>
        <v>0</v>
      </c>
      <c r="E128" s="17">
        <f>VLOOKUP(B128,BS!$A:$S,18,FALSE)-VLOOKUP(B128,BS!$A:$S,$C$1+5,FALSE)</f>
        <v>0</v>
      </c>
      <c r="F128" s="17">
        <f>VLOOKUP(B128,BS!$A:$S,18,FALSE)</f>
        <v>0</v>
      </c>
      <c r="G128" s="18">
        <f t="shared" si="22"/>
        <v>0</v>
      </c>
      <c r="H128" s="19">
        <f t="shared" si="23"/>
        <v>0</v>
      </c>
      <c r="I128" s="18">
        <f t="shared" si="24"/>
        <v>0</v>
      </c>
      <c r="J128" s="19">
        <f t="shared" si="25"/>
        <v>0</v>
      </c>
      <c r="L128" s="6" t="s">
        <v>661</v>
      </c>
      <c r="M128" s="20" t="s">
        <v>662</v>
      </c>
      <c r="N128" s="17">
        <f>VLOOKUP(L128,PL!$A:$S,$C$1+3,FALSE)</f>
        <v>0</v>
      </c>
      <c r="O128" s="17">
        <f>VLOOKUP(L128,PL!$A:$S,$C$1+4,FALSE)</f>
        <v>0</v>
      </c>
      <c r="P128" s="17">
        <f>VLOOKUP(L128,PL!$A:$S,$C$1+5,FALSE)</f>
        <v>0</v>
      </c>
      <c r="Q128" s="18">
        <f t="shared" si="26"/>
        <v>0</v>
      </c>
      <c r="R128" s="19">
        <f t="shared" si="27"/>
        <v>0</v>
      </c>
      <c r="S128" s="18">
        <f t="shared" si="28"/>
        <v>0</v>
      </c>
      <c r="T128" s="19">
        <f t="shared" si="29"/>
        <v>0</v>
      </c>
    </row>
    <row r="129" spans="2:20" x14ac:dyDescent="0.4">
      <c r="B129" s="6" t="s">
        <v>268</v>
      </c>
      <c r="C129" s="20" t="s">
        <v>269</v>
      </c>
      <c r="D129" s="17">
        <f>VLOOKUP(B129,BS!$A:$S,18,FALSE)-VLOOKUP(B129,BS!$A:$S,$C$1+5,FALSE)-VLOOKUP(B129,BS!$A:$S,$C$1+4,FALSE)</f>
        <v>1279686666.71</v>
      </c>
      <c r="E129" s="17">
        <f>VLOOKUP(B129,BS!$A:$S,18,FALSE)-VLOOKUP(B129,BS!$A:$S,$C$1+5,FALSE)</f>
        <v>1260136255.8299999</v>
      </c>
      <c r="F129" s="17">
        <f>VLOOKUP(B129,BS!$A:$S,18,FALSE)</f>
        <v>1156958606.23</v>
      </c>
      <c r="G129" s="18">
        <f t="shared" si="22"/>
        <v>-19550410.880000114</v>
      </c>
      <c r="H129" s="19">
        <f t="shared" si="23"/>
        <v>-1.5277498303755155E-2</v>
      </c>
      <c r="I129" s="18">
        <f t="shared" si="24"/>
        <v>-103177649.5999999</v>
      </c>
      <c r="J129" s="19">
        <f t="shared" si="25"/>
        <v>-8.1878169223883676E-2</v>
      </c>
      <c r="L129" s="6" t="s">
        <v>663</v>
      </c>
      <c r="M129" s="20" t="s">
        <v>664</v>
      </c>
      <c r="N129" s="17">
        <f>VLOOKUP(L129,PL!$A:$S,$C$1+3,FALSE)</f>
        <v>0</v>
      </c>
      <c r="O129" s="17">
        <f>VLOOKUP(L129,PL!$A:$S,$C$1+4,FALSE)</f>
        <v>0</v>
      </c>
      <c r="P129" s="17">
        <f>VLOOKUP(L129,PL!$A:$S,$C$1+5,FALSE)</f>
        <v>0</v>
      </c>
      <c r="Q129" s="18">
        <f t="shared" si="26"/>
        <v>0</v>
      </c>
      <c r="R129" s="19">
        <f t="shared" si="27"/>
        <v>0</v>
      </c>
      <c r="S129" s="18">
        <f t="shared" si="28"/>
        <v>0</v>
      </c>
      <c r="T129" s="19">
        <f t="shared" si="29"/>
        <v>0</v>
      </c>
    </row>
    <row r="130" spans="2:20" x14ac:dyDescent="0.4">
      <c r="B130" s="6" t="s">
        <v>270</v>
      </c>
      <c r="C130" s="20" t="s">
        <v>271</v>
      </c>
      <c r="D130" s="17">
        <f>VLOOKUP(B130,BS!$A:$S,18,FALSE)-VLOOKUP(B130,BS!$A:$S,$C$1+5,FALSE)-VLOOKUP(B130,BS!$A:$S,$C$1+4,FALSE)</f>
        <v>0</v>
      </c>
      <c r="E130" s="17">
        <f>VLOOKUP(B130,BS!$A:$S,18,FALSE)-VLOOKUP(B130,BS!$A:$S,$C$1+5,FALSE)</f>
        <v>0</v>
      </c>
      <c r="F130" s="17">
        <f>VLOOKUP(B130,BS!$A:$S,18,FALSE)</f>
        <v>0</v>
      </c>
      <c r="G130" s="18">
        <f t="shared" si="22"/>
        <v>0</v>
      </c>
      <c r="H130" s="19">
        <f t="shared" si="23"/>
        <v>0</v>
      </c>
      <c r="I130" s="18">
        <f t="shared" si="24"/>
        <v>0</v>
      </c>
      <c r="J130" s="19">
        <f t="shared" si="25"/>
        <v>0</v>
      </c>
      <c r="L130" s="6" t="s">
        <v>665</v>
      </c>
      <c r="M130" s="20" t="s">
        <v>666</v>
      </c>
      <c r="N130" s="17">
        <f>VLOOKUP(L130,PL!$A:$S,$C$1+3,FALSE)</f>
        <v>0</v>
      </c>
      <c r="O130" s="17">
        <f>VLOOKUP(L130,PL!$A:$S,$C$1+4,FALSE)</f>
        <v>0</v>
      </c>
      <c r="P130" s="17">
        <f>VLOOKUP(L130,PL!$A:$S,$C$1+5,FALSE)</f>
        <v>0</v>
      </c>
      <c r="Q130" s="18">
        <f t="shared" si="26"/>
        <v>0</v>
      </c>
      <c r="R130" s="19">
        <f t="shared" si="27"/>
        <v>0</v>
      </c>
      <c r="S130" s="18">
        <f t="shared" si="28"/>
        <v>0</v>
      </c>
      <c r="T130" s="19">
        <f t="shared" si="29"/>
        <v>0</v>
      </c>
    </row>
    <row r="131" spans="2:20" x14ac:dyDescent="0.4">
      <c r="B131" s="6" t="s">
        <v>272</v>
      </c>
      <c r="C131" s="20" t="s">
        <v>273</v>
      </c>
      <c r="D131" s="17">
        <f>VLOOKUP(B131,BS!$A:$S,18,FALSE)-VLOOKUP(B131,BS!$A:$S,$C$1+5,FALSE)-VLOOKUP(B131,BS!$A:$S,$C$1+4,FALSE)</f>
        <v>0</v>
      </c>
      <c r="E131" s="17">
        <f>VLOOKUP(B131,BS!$A:$S,18,FALSE)-VLOOKUP(B131,BS!$A:$S,$C$1+5,FALSE)</f>
        <v>0</v>
      </c>
      <c r="F131" s="17">
        <f>VLOOKUP(B131,BS!$A:$S,18,FALSE)</f>
        <v>0</v>
      </c>
      <c r="G131" s="18">
        <f t="shared" si="22"/>
        <v>0</v>
      </c>
      <c r="H131" s="19">
        <f t="shared" si="23"/>
        <v>0</v>
      </c>
      <c r="I131" s="18">
        <f t="shared" si="24"/>
        <v>0</v>
      </c>
      <c r="J131" s="19">
        <f t="shared" si="25"/>
        <v>0</v>
      </c>
      <c r="L131" s="6" t="s">
        <v>667</v>
      </c>
      <c r="M131" s="20" t="s">
        <v>668</v>
      </c>
      <c r="N131" s="17">
        <f>VLOOKUP(L131,PL!$A:$S,$C$1+3,FALSE)</f>
        <v>0</v>
      </c>
      <c r="O131" s="17">
        <f>VLOOKUP(L131,PL!$A:$S,$C$1+4,FALSE)</f>
        <v>0</v>
      </c>
      <c r="P131" s="17">
        <f>VLOOKUP(L131,PL!$A:$S,$C$1+5,FALSE)</f>
        <v>0</v>
      </c>
      <c r="Q131" s="18">
        <f t="shared" si="26"/>
        <v>0</v>
      </c>
      <c r="R131" s="19">
        <f t="shared" si="27"/>
        <v>0</v>
      </c>
      <c r="S131" s="18">
        <f t="shared" si="28"/>
        <v>0</v>
      </c>
      <c r="T131" s="19">
        <f t="shared" si="29"/>
        <v>0</v>
      </c>
    </row>
    <row r="132" spans="2:20" x14ac:dyDescent="0.4">
      <c r="B132" s="6" t="s">
        <v>274</v>
      </c>
      <c r="C132" s="20" t="s">
        <v>275</v>
      </c>
      <c r="D132" s="17">
        <f>VLOOKUP(B132,BS!$A:$S,18,FALSE)-VLOOKUP(B132,BS!$A:$S,$C$1+5,FALSE)-VLOOKUP(B132,BS!$A:$S,$C$1+4,FALSE)</f>
        <v>244668.77</v>
      </c>
      <c r="E132" s="17">
        <f>VLOOKUP(B132,BS!$A:$S,18,FALSE)-VLOOKUP(B132,BS!$A:$S,$C$1+5,FALSE)</f>
        <v>244668.77</v>
      </c>
      <c r="F132" s="17">
        <f>VLOOKUP(B132,BS!$A:$S,18,FALSE)</f>
        <v>244668.77</v>
      </c>
      <c r="G132" s="18">
        <f t="shared" si="22"/>
        <v>0</v>
      </c>
      <c r="H132" s="19">
        <f t="shared" si="23"/>
        <v>0</v>
      </c>
      <c r="I132" s="18">
        <f t="shared" si="24"/>
        <v>0</v>
      </c>
      <c r="J132" s="19">
        <f t="shared" si="25"/>
        <v>0</v>
      </c>
      <c r="L132" s="6" t="s">
        <v>669</v>
      </c>
      <c r="M132" s="20" t="s">
        <v>670</v>
      </c>
      <c r="N132" s="17">
        <f>VLOOKUP(L132,PL!$A:$S,$C$1+3,FALSE)</f>
        <v>0</v>
      </c>
      <c r="O132" s="17">
        <f>VLOOKUP(L132,PL!$A:$S,$C$1+4,FALSE)</f>
        <v>0</v>
      </c>
      <c r="P132" s="17">
        <f>VLOOKUP(L132,PL!$A:$S,$C$1+5,FALSE)</f>
        <v>0</v>
      </c>
      <c r="Q132" s="18">
        <f t="shared" si="26"/>
        <v>0</v>
      </c>
      <c r="R132" s="19">
        <f t="shared" si="27"/>
        <v>0</v>
      </c>
      <c r="S132" s="18">
        <f t="shared" si="28"/>
        <v>0</v>
      </c>
      <c r="T132" s="19">
        <f t="shared" si="29"/>
        <v>0</v>
      </c>
    </row>
    <row r="133" spans="2:20" x14ac:dyDescent="0.4">
      <c r="B133" s="6" t="s">
        <v>276</v>
      </c>
      <c r="C133" s="20" t="s">
        <v>277</v>
      </c>
      <c r="D133" s="17">
        <f>VLOOKUP(B133,BS!$A:$S,18,FALSE)-VLOOKUP(B133,BS!$A:$S,$C$1+5,FALSE)-VLOOKUP(B133,BS!$A:$S,$C$1+4,FALSE)</f>
        <v>0</v>
      </c>
      <c r="E133" s="17">
        <f>VLOOKUP(B133,BS!$A:$S,18,FALSE)-VLOOKUP(B133,BS!$A:$S,$C$1+5,FALSE)</f>
        <v>0</v>
      </c>
      <c r="F133" s="17">
        <f>VLOOKUP(B133,BS!$A:$S,18,FALSE)</f>
        <v>0</v>
      </c>
      <c r="G133" s="18">
        <f t="shared" ref="G133:G196" si="34">E133-D133</f>
        <v>0</v>
      </c>
      <c r="H133" s="19">
        <f t="shared" ref="H133:H196" si="35">IFERROR(G133/D133,0)</f>
        <v>0</v>
      </c>
      <c r="I133" s="18">
        <f t="shared" ref="I133:I196" si="36">F133-E133</f>
        <v>0</v>
      </c>
      <c r="J133" s="19">
        <f t="shared" ref="J133:J196" si="37">IFERROR(I133/E133,0)</f>
        <v>0</v>
      </c>
      <c r="L133" s="6" t="s">
        <v>671</v>
      </c>
      <c r="M133" s="20" t="s">
        <v>672</v>
      </c>
      <c r="N133" s="17">
        <f>VLOOKUP(L133,PL!$A:$S,$C$1+3,FALSE)</f>
        <v>0</v>
      </c>
      <c r="O133" s="17">
        <f>VLOOKUP(L133,PL!$A:$S,$C$1+4,FALSE)</f>
        <v>0</v>
      </c>
      <c r="P133" s="17">
        <f>VLOOKUP(L133,PL!$A:$S,$C$1+5,FALSE)</f>
        <v>0</v>
      </c>
      <c r="Q133" s="18">
        <f t="shared" si="26"/>
        <v>0</v>
      </c>
      <c r="R133" s="19">
        <f t="shared" si="27"/>
        <v>0</v>
      </c>
      <c r="S133" s="18">
        <f t="shared" si="28"/>
        <v>0</v>
      </c>
      <c r="T133" s="19">
        <f t="shared" si="29"/>
        <v>0</v>
      </c>
    </row>
    <row r="134" spans="2:20" x14ac:dyDescent="0.4">
      <c r="B134" s="6" t="s">
        <v>278</v>
      </c>
      <c r="C134" s="20" t="s">
        <v>279</v>
      </c>
      <c r="D134" s="17">
        <f>VLOOKUP(B134,BS!$A:$S,18,FALSE)-VLOOKUP(B134,BS!$A:$S,$C$1+5,FALSE)-VLOOKUP(B134,BS!$A:$S,$C$1+4,FALSE)</f>
        <v>0</v>
      </c>
      <c r="E134" s="17">
        <f>VLOOKUP(B134,BS!$A:$S,18,FALSE)-VLOOKUP(B134,BS!$A:$S,$C$1+5,FALSE)</f>
        <v>0</v>
      </c>
      <c r="F134" s="17">
        <f>VLOOKUP(B134,BS!$A:$S,18,FALSE)</f>
        <v>0</v>
      </c>
      <c r="G134" s="18">
        <f t="shared" si="34"/>
        <v>0</v>
      </c>
      <c r="H134" s="19">
        <f t="shared" si="35"/>
        <v>0</v>
      </c>
      <c r="I134" s="18">
        <f t="shared" si="36"/>
        <v>0</v>
      </c>
      <c r="J134" s="19">
        <f t="shared" si="37"/>
        <v>0</v>
      </c>
      <c r="L134" s="6" t="s">
        <v>673</v>
      </c>
      <c r="M134" s="20" t="s">
        <v>674</v>
      </c>
      <c r="N134" s="17">
        <f>VLOOKUP(L134,PL!$A:$S,$C$1+3,FALSE)</f>
        <v>0</v>
      </c>
      <c r="O134" s="17">
        <f>VLOOKUP(L134,PL!$A:$S,$C$1+4,FALSE)</f>
        <v>0</v>
      </c>
      <c r="P134" s="17">
        <f>VLOOKUP(L134,PL!$A:$S,$C$1+5,FALSE)</f>
        <v>0</v>
      </c>
      <c r="Q134" s="18">
        <f t="shared" si="26"/>
        <v>0</v>
      </c>
      <c r="R134" s="19">
        <f t="shared" si="27"/>
        <v>0</v>
      </c>
      <c r="S134" s="18">
        <f t="shared" si="28"/>
        <v>0</v>
      </c>
      <c r="T134" s="19">
        <f t="shared" si="29"/>
        <v>0</v>
      </c>
    </row>
    <row r="135" spans="2:20" x14ac:dyDescent="0.4">
      <c r="B135" s="6" t="s">
        <v>280</v>
      </c>
      <c r="C135" s="20" t="s">
        <v>281</v>
      </c>
      <c r="D135" s="17">
        <f>VLOOKUP(B135,BS!$A:$S,18,FALSE)-VLOOKUP(B135,BS!$A:$S,$C$1+5,FALSE)-VLOOKUP(B135,BS!$A:$S,$C$1+4,FALSE)</f>
        <v>0</v>
      </c>
      <c r="E135" s="17">
        <f>VLOOKUP(B135,BS!$A:$S,18,FALSE)-VLOOKUP(B135,BS!$A:$S,$C$1+5,FALSE)</f>
        <v>0</v>
      </c>
      <c r="F135" s="17">
        <f>VLOOKUP(B135,BS!$A:$S,18,FALSE)</f>
        <v>0</v>
      </c>
      <c r="G135" s="18">
        <f t="shared" si="34"/>
        <v>0</v>
      </c>
      <c r="H135" s="19">
        <f t="shared" si="35"/>
        <v>0</v>
      </c>
      <c r="I135" s="18">
        <f t="shared" si="36"/>
        <v>0</v>
      </c>
      <c r="J135" s="19">
        <f t="shared" si="37"/>
        <v>0</v>
      </c>
      <c r="L135" s="6" t="s">
        <v>675</v>
      </c>
      <c r="M135" s="20" t="s">
        <v>676</v>
      </c>
      <c r="N135" s="17">
        <f>VLOOKUP(L135,PL!$A:$S,$C$1+3,FALSE)</f>
        <v>0</v>
      </c>
      <c r="O135" s="17">
        <f>VLOOKUP(L135,PL!$A:$S,$C$1+4,FALSE)</f>
        <v>0</v>
      </c>
      <c r="P135" s="17">
        <f>VLOOKUP(L135,PL!$A:$S,$C$1+5,FALSE)</f>
        <v>0</v>
      </c>
      <c r="Q135" s="18">
        <f t="shared" si="26"/>
        <v>0</v>
      </c>
      <c r="R135" s="19">
        <f t="shared" si="27"/>
        <v>0</v>
      </c>
      <c r="S135" s="18">
        <f t="shared" si="28"/>
        <v>0</v>
      </c>
      <c r="T135" s="19">
        <f t="shared" si="29"/>
        <v>0</v>
      </c>
    </row>
    <row r="136" spans="2:20" x14ac:dyDescent="0.4">
      <c r="B136" s="6" t="s">
        <v>282</v>
      </c>
      <c r="C136" s="20" t="s">
        <v>283</v>
      </c>
      <c r="D136" s="17">
        <f>VLOOKUP(B136,BS!$A:$S,18,FALSE)-VLOOKUP(B136,BS!$A:$S,$C$1+5,FALSE)-VLOOKUP(B136,BS!$A:$S,$C$1+4,FALSE)</f>
        <v>0</v>
      </c>
      <c r="E136" s="17">
        <f>VLOOKUP(B136,BS!$A:$S,18,FALSE)-VLOOKUP(B136,BS!$A:$S,$C$1+5,FALSE)</f>
        <v>0</v>
      </c>
      <c r="F136" s="17">
        <f>VLOOKUP(B136,BS!$A:$S,18,FALSE)</f>
        <v>0</v>
      </c>
      <c r="G136" s="18">
        <f t="shared" si="34"/>
        <v>0</v>
      </c>
      <c r="H136" s="19">
        <f t="shared" si="35"/>
        <v>0</v>
      </c>
      <c r="I136" s="18">
        <f t="shared" si="36"/>
        <v>0</v>
      </c>
      <c r="J136" s="19">
        <f t="shared" si="37"/>
        <v>0</v>
      </c>
      <c r="L136" s="6" t="s">
        <v>677</v>
      </c>
      <c r="M136" s="20" t="s">
        <v>678</v>
      </c>
      <c r="N136" s="17">
        <f>VLOOKUP(L136,PL!$A:$S,$C$1+3,FALSE)</f>
        <v>0</v>
      </c>
      <c r="O136" s="17">
        <f>VLOOKUP(L136,PL!$A:$S,$C$1+4,FALSE)</f>
        <v>0</v>
      </c>
      <c r="P136" s="17">
        <f>VLOOKUP(L136,PL!$A:$S,$C$1+5,FALSE)</f>
        <v>0</v>
      </c>
      <c r="Q136" s="18">
        <f t="shared" si="26"/>
        <v>0</v>
      </c>
      <c r="R136" s="19">
        <f t="shared" si="27"/>
        <v>0</v>
      </c>
      <c r="S136" s="18">
        <f t="shared" si="28"/>
        <v>0</v>
      </c>
      <c r="T136" s="19">
        <f t="shared" si="29"/>
        <v>0</v>
      </c>
    </row>
    <row r="137" spans="2:20" x14ac:dyDescent="0.4">
      <c r="B137" s="6" t="s">
        <v>284</v>
      </c>
      <c r="C137" s="20" t="s">
        <v>285</v>
      </c>
      <c r="D137" s="17">
        <f>VLOOKUP(B137,BS!$A:$S,18,FALSE)-VLOOKUP(B137,BS!$A:$S,$C$1+5,FALSE)-VLOOKUP(B137,BS!$A:$S,$C$1+4,FALSE)</f>
        <v>0</v>
      </c>
      <c r="E137" s="17">
        <f>VLOOKUP(B137,BS!$A:$S,18,FALSE)-VLOOKUP(B137,BS!$A:$S,$C$1+5,FALSE)</f>
        <v>0</v>
      </c>
      <c r="F137" s="17">
        <f>VLOOKUP(B137,BS!$A:$S,18,FALSE)</f>
        <v>0</v>
      </c>
      <c r="G137" s="18">
        <f t="shared" si="34"/>
        <v>0</v>
      </c>
      <c r="H137" s="19">
        <f t="shared" si="35"/>
        <v>0</v>
      </c>
      <c r="I137" s="18">
        <f t="shared" si="36"/>
        <v>0</v>
      </c>
      <c r="J137" s="19">
        <f t="shared" si="37"/>
        <v>0</v>
      </c>
      <c r="L137" s="6" t="s">
        <v>679</v>
      </c>
      <c r="M137" s="20" t="s">
        <v>680</v>
      </c>
      <c r="N137" s="17">
        <f>VLOOKUP(L137,PL!$A:$S,$C$1+3,FALSE)</f>
        <v>0</v>
      </c>
      <c r="O137" s="17">
        <f>VLOOKUP(L137,PL!$A:$S,$C$1+4,FALSE)</f>
        <v>0</v>
      </c>
      <c r="P137" s="17">
        <f>VLOOKUP(L137,PL!$A:$S,$C$1+5,FALSE)</f>
        <v>0</v>
      </c>
      <c r="Q137" s="18">
        <f t="shared" ref="Q137:Q149" si="38">O137-N137</f>
        <v>0</v>
      </c>
      <c r="R137" s="19">
        <f t="shared" ref="R137:R149" si="39">IFERROR(Q137/N137,0)</f>
        <v>0</v>
      </c>
      <c r="S137" s="18">
        <f t="shared" ref="S137:S149" si="40">P137-O137</f>
        <v>0</v>
      </c>
      <c r="T137" s="19">
        <f t="shared" ref="T137:T149" si="41">IFERROR(S137/O137,0)</f>
        <v>0</v>
      </c>
    </row>
    <row r="138" spans="2:20" x14ac:dyDescent="0.4">
      <c r="B138" s="6" t="s">
        <v>286</v>
      </c>
      <c r="C138" s="20" t="s">
        <v>287</v>
      </c>
      <c r="D138" s="17">
        <f>VLOOKUP(B138,BS!$A:$S,18,FALSE)-VLOOKUP(B138,BS!$A:$S,$C$1+5,FALSE)-VLOOKUP(B138,BS!$A:$S,$C$1+4,FALSE)</f>
        <v>0</v>
      </c>
      <c r="E138" s="17">
        <f>VLOOKUP(B138,BS!$A:$S,18,FALSE)-VLOOKUP(B138,BS!$A:$S,$C$1+5,FALSE)</f>
        <v>0</v>
      </c>
      <c r="F138" s="17">
        <f>VLOOKUP(B138,BS!$A:$S,18,FALSE)</f>
        <v>0</v>
      </c>
      <c r="G138" s="18">
        <f t="shared" si="34"/>
        <v>0</v>
      </c>
      <c r="H138" s="19">
        <f t="shared" si="35"/>
        <v>0</v>
      </c>
      <c r="I138" s="18">
        <f t="shared" si="36"/>
        <v>0</v>
      </c>
      <c r="J138" s="19">
        <f t="shared" si="37"/>
        <v>0</v>
      </c>
      <c r="L138" s="6" t="s">
        <v>681</v>
      </c>
      <c r="M138" s="20" t="s">
        <v>682</v>
      </c>
      <c r="N138" s="17">
        <f>VLOOKUP(L138,PL!$A:$S,$C$1+3,FALSE)</f>
        <v>0</v>
      </c>
      <c r="O138" s="17">
        <f>VLOOKUP(L138,PL!$A:$S,$C$1+4,FALSE)</f>
        <v>0</v>
      </c>
      <c r="P138" s="17">
        <f>VLOOKUP(L138,PL!$A:$S,$C$1+5,FALSE)</f>
        <v>0</v>
      </c>
      <c r="Q138" s="18">
        <f t="shared" si="38"/>
        <v>0</v>
      </c>
      <c r="R138" s="19">
        <f t="shared" si="39"/>
        <v>0</v>
      </c>
      <c r="S138" s="18">
        <f t="shared" si="40"/>
        <v>0</v>
      </c>
      <c r="T138" s="19">
        <f t="shared" si="41"/>
        <v>0</v>
      </c>
    </row>
    <row r="139" spans="2:20" x14ac:dyDescent="0.4">
      <c r="B139" s="6" t="s">
        <v>288</v>
      </c>
      <c r="C139" s="20" t="s">
        <v>289</v>
      </c>
      <c r="D139" s="17">
        <f>VLOOKUP(B139,BS!$A:$S,18,FALSE)-VLOOKUP(B139,BS!$A:$S,$C$1+5,FALSE)-VLOOKUP(B139,BS!$A:$S,$C$1+4,FALSE)</f>
        <v>0</v>
      </c>
      <c r="E139" s="17">
        <f>VLOOKUP(B139,BS!$A:$S,18,FALSE)-VLOOKUP(B139,BS!$A:$S,$C$1+5,FALSE)</f>
        <v>0</v>
      </c>
      <c r="F139" s="17">
        <f>VLOOKUP(B139,BS!$A:$S,18,FALSE)</f>
        <v>0</v>
      </c>
      <c r="G139" s="18">
        <f t="shared" si="34"/>
        <v>0</v>
      </c>
      <c r="H139" s="19">
        <f t="shared" si="35"/>
        <v>0</v>
      </c>
      <c r="I139" s="18">
        <f t="shared" si="36"/>
        <v>0</v>
      </c>
      <c r="J139" s="19">
        <f t="shared" si="37"/>
        <v>0</v>
      </c>
      <c r="L139" s="6" t="s">
        <v>683</v>
      </c>
      <c r="M139" s="20" t="s">
        <v>684</v>
      </c>
      <c r="N139" s="17">
        <f>VLOOKUP(L139,PL!$A:$S,$C$1+3,FALSE)</f>
        <v>0</v>
      </c>
      <c r="O139" s="17">
        <f>VLOOKUP(L139,PL!$A:$S,$C$1+4,FALSE)</f>
        <v>0</v>
      </c>
      <c r="P139" s="17">
        <f>VLOOKUP(L139,PL!$A:$S,$C$1+5,FALSE)</f>
        <v>0</v>
      </c>
      <c r="Q139" s="18">
        <f t="shared" si="38"/>
        <v>0</v>
      </c>
      <c r="R139" s="19">
        <f t="shared" si="39"/>
        <v>0</v>
      </c>
      <c r="S139" s="18">
        <f t="shared" si="40"/>
        <v>0</v>
      </c>
      <c r="T139" s="19">
        <f t="shared" si="41"/>
        <v>0</v>
      </c>
    </row>
    <row r="140" spans="2:20" x14ac:dyDescent="0.4">
      <c r="B140" s="6" t="s">
        <v>290</v>
      </c>
      <c r="C140" s="20" t="s">
        <v>291</v>
      </c>
      <c r="D140" s="17">
        <f>VLOOKUP(B140,BS!$A:$S,18,FALSE)-VLOOKUP(B140,BS!$A:$S,$C$1+5,FALSE)-VLOOKUP(B140,BS!$A:$S,$C$1+4,FALSE)</f>
        <v>1061391228</v>
      </c>
      <c r="E140" s="17">
        <f>VLOOKUP(B140,BS!$A:$S,18,FALSE)-VLOOKUP(B140,BS!$A:$S,$C$1+5,FALSE)</f>
        <v>1372975919</v>
      </c>
      <c r="F140" s="17">
        <f>VLOOKUP(B140,BS!$A:$S,18,FALSE)</f>
        <v>1257672403</v>
      </c>
      <c r="G140" s="18">
        <f t="shared" si="34"/>
        <v>311584691</v>
      </c>
      <c r="H140" s="19">
        <f t="shared" si="35"/>
        <v>0.29356252697426666</v>
      </c>
      <c r="I140" s="18">
        <f t="shared" si="36"/>
        <v>-115303516</v>
      </c>
      <c r="J140" s="19">
        <f t="shared" si="37"/>
        <v>-8.3980727123007901E-2</v>
      </c>
      <c r="L140" s="6" t="s">
        <v>685</v>
      </c>
      <c r="M140" s="20" t="s">
        <v>686</v>
      </c>
      <c r="N140" s="17">
        <f>VLOOKUP(L140,PL!$A:$S,$C$1+3,FALSE)</f>
        <v>0</v>
      </c>
      <c r="O140" s="17">
        <f>VLOOKUP(L140,PL!$A:$S,$C$1+4,FALSE)</f>
        <v>0</v>
      </c>
      <c r="P140" s="17">
        <f>VLOOKUP(L140,PL!$A:$S,$C$1+5,FALSE)</f>
        <v>0</v>
      </c>
      <c r="Q140" s="18">
        <f t="shared" si="38"/>
        <v>0</v>
      </c>
      <c r="R140" s="19">
        <f t="shared" si="39"/>
        <v>0</v>
      </c>
      <c r="S140" s="18">
        <f t="shared" si="40"/>
        <v>0</v>
      </c>
      <c r="T140" s="19">
        <f t="shared" si="41"/>
        <v>0</v>
      </c>
    </row>
    <row r="141" spans="2:20" x14ac:dyDescent="0.4">
      <c r="B141" s="6" t="s">
        <v>292</v>
      </c>
      <c r="C141" s="20" t="s">
        <v>293</v>
      </c>
      <c r="D141" s="17">
        <f>VLOOKUP(B141,BS!$A:$S,18,FALSE)-VLOOKUP(B141,BS!$A:$S,$C$1+5,FALSE)-VLOOKUP(B141,BS!$A:$S,$C$1+4,FALSE)</f>
        <v>0</v>
      </c>
      <c r="E141" s="17">
        <f>VLOOKUP(B141,BS!$A:$S,18,FALSE)-VLOOKUP(B141,BS!$A:$S,$C$1+5,FALSE)</f>
        <v>0</v>
      </c>
      <c r="F141" s="17">
        <f>VLOOKUP(B141,BS!$A:$S,18,FALSE)</f>
        <v>0</v>
      </c>
      <c r="G141" s="18">
        <f t="shared" si="34"/>
        <v>0</v>
      </c>
      <c r="H141" s="19">
        <f t="shared" si="35"/>
        <v>0</v>
      </c>
      <c r="I141" s="18">
        <f t="shared" si="36"/>
        <v>0</v>
      </c>
      <c r="J141" s="19">
        <f t="shared" si="37"/>
        <v>0</v>
      </c>
      <c r="L141" s="6" t="s">
        <v>687</v>
      </c>
      <c r="M141" s="20" t="s">
        <v>688</v>
      </c>
      <c r="N141" s="17">
        <f>VLOOKUP(L141,PL!$A:$S,$C$1+3,FALSE)</f>
        <v>0</v>
      </c>
      <c r="O141" s="17">
        <f>VLOOKUP(L141,PL!$A:$S,$C$1+4,FALSE)</f>
        <v>0</v>
      </c>
      <c r="P141" s="17">
        <f>VLOOKUP(L141,PL!$A:$S,$C$1+5,FALSE)</f>
        <v>0</v>
      </c>
      <c r="Q141" s="18">
        <f t="shared" si="38"/>
        <v>0</v>
      </c>
      <c r="R141" s="19">
        <f t="shared" si="39"/>
        <v>0</v>
      </c>
      <c r="S141" s="18">
        <f t="shared" si="40"/>
        <v>0</v>
      </c>
      <c r="T141" s="19">
        <f t="shared" si="41"/>
        <v>0</v>
      </c>
    </row>
    <row r="142" spans="2:20" x14ac:dyDescent="0.4">
      <c r="B142" s="6" t="s">
        <v>294</v>
      </c>
      <c r="C142" s="20" t="s">
        <v>295</v>
      </c>
      <c r="D142" s="17">
        <f>VLOOKUP(B142,BS!$A:$S,18,FALSE)-VLOOKUP(B142,BS!$A:$S,$C$1+5,FALSE)-VLOOKUP(B142,BS!$A:$S,$C$1+4,FALSE)</f>
        <v>425782924</v>
      </c>
      <c r="E142" s="17">
        <f>VLOOKUP(B142,BS!$A:$S,18,FALSE)-VLOOKUP(B142,BS!$A:$S,$C$1+5,FALSE)</f>
        <v>425782924</v>
      </c>
      <c r="F142" s="17">
        <f>VLOOKUP(B142,BS!$A:$S,18,FALSE)</f>
        <v>1865863470</v>
      </c>
      <c r="G142" s="18">
        <f t="shared" si="34"/>
        <v>0</v>
      </c>
      <c r="H142" s="19">
        <f t="shared" si="35"/>
        <v>0</v>
      </c>
      <c r="I142" s="18">
        <f t="shared" si="36"/>
        <v>1440080546</v>
      </c>
      <c r="J142" s="19">
        <f t="shared" si="37"/>
        <v>3.3821942234583369</v>
      </c>
      <c r="L142" s="6" t="s">
        <v>689</v>
      </c>
      <c r="M142" s="20" t="s">
        <v>690</v>
      </c>
      <c r="N142" s="17">
        <f>VLOOKUP(L142,PL!$A:$S,$C$1+3,FALSE)</f>
        <v>0</v>
      </c>
      <c r="O142" s="17">
        <f>VLOOKUP(L142,PL!$A:$S,$C$1+4,FALSE)</f>
        <v>0</v>
      </c>
      <c r="P142" s="17">
        <f>VLOOKUP(L142,PL!$A:$S,$C$1+5,FALSE)</f>
        <v>0</v>
      </c>
      <c r="Q142" s="18">
        <f t="shared" ref="Q142" si="42">O142-N142</f>
        <v>0</v>
      </c>
      <c r="R142" s="19">
        <f t="shared" ref="R142" si="43">IFERROR(Q142/N142,0)</f>
        <v>0</v>
      </c>
      <c r="S142" s="18">
        <f t="shared" ref="S142" si="44">P142-O142</f>
        <v>0</v>
      </c>
      <c r="T142" s="19">
        <f t="shared" ref="T142" si="45">IFERROR(S142/O142,0)</f>
        <v>0</v>
      </c>
    </row>
    <row r="143" spans="2:20" x14ac:dyDescent="0.4">
      <c r="B143" s="6" t="s">
        <v>296</v>
      </c>
      <c r="C143" s="20" t="s">
        <v>297</v>
      </c>
      <c r="D143" s="17">
        <f>VLOOKUP(B143,BS!$A:$S,18,FALSE)-VLOOKUP(B143,BS!$A:$S,$C$1+5,FALSE)-VLOOKUP(B143,BS!$A:$S,$C$1+4,FALSE)</f>
        <v>0</v>
      </c>
      <c r="E143" s="17">
        <f>VLOOKUP(B143,BS!$A:$S,18,FALSE)-VLOOKUP(B143,BS!$A:$S,$C$1+5,FALSE)</f>
        <v>0</v>
      </c>
      <c r="F143" s="17">
        <f>VLOOKUP(B143,BS!$A:$S,18,FALSE)</f>
        <v>0</v>
      </c>
      <c r="G143" s="18">
        <f t="shared" si="34"/>
        <v>0</v>
      </c>
      <c r="H143" s="19">
        <f t="shared" si="35"/>
        <v>0</v>
      </c>
      <c r="I143" s="18">
        <f t="shared" si="36"/>
        <v>0</v>
      </c>
      <c r="J143" s="19">
        <f t="shared" si="37"/>
        <v>0</v>
      </c>
      <c r="L143" s="6" t="s">
        <v>725</v>
      </c>
      <c r="M143" s="20" t="s">
        <v>726</v>
      </c>
      <c r="N143" s="17">
        <f>VLOOKUP(L143,PL!$A:$S,$C$1+3,FALSE)</f>
        <v>0</v>
      </c>
      <c r="O143" s="17">
        <f>VLOOKUP(L143,PL!$A:$S,$C$1+4,FALSE)</f>
        <v>0</v>
      </c>
      <c r="P143" s="17">
        <f>VLOOKUP(L143,PL!$A:$S,$C$1+5,FALSE)</f>
        <v>0</v>
      </c>
      <c r="Q143" s="18">
        <f t="shared" si="38"/>
        <v>0</v>
      </c>
      <c r="R143" s="19">
        <f t="shared" si="39"/>
        <v>0</v>
      </c>
      <c r="S143" s="18">
        <f t="shared" si="40"/>
        <v>0</v>
      </c>
      <c r="T143" s="19">
        <f t="shared" si="41"/>
        <v>0</v>
      </c>
    </row>
    <row r="144" spans="2:20" x14ac:dyDescent="0.4">
      <c r="B144" s="15" t="s">
        <v>298</v>
      </c>
      <c r="C144" s="16" t="s">
        <v>299</v>
      </c>
      <c r="D144" s="17">
        <f>VLOOKUP(B144,BS!$A:$S,18,FALSE)-VLOOKUP(B144,BS!$A:$S,$C$1+5,FALSE)-VLOOKUP(B144,BS!$A:$S,$C$1+4,FALSE)</f>
        <v>143083050</v>
      </c>
      <c r="E144" s="17">
        <f>VLOOKUP(B144,BS!$A:$S,18,FALSE)-VLOOKUP(B144,BS!$A:$S,$C$1+5,FALSE)</f>
        <v>143083050</v>
      </c>
      <c r="F144" s="17">
        <f>VLOOKUP(B144,BS!$A:$S,18,FALSE)</f>
        <v>3235317519</v>
      </c>
      <c r="G144" s="18">
        <f t="shared" si="34"/>
        <v>0</v>
      </c>
      <c r="H144" s="19">
        <f t="shared" si="35"/>
        <v>0</v>
      </c>
      <c r="I144" s="18">
        <f t="shared" si="36"/>
        <v>3092234469</v>
      </c>
      <c r="J144" s="19">
        <f t="shared" si="37"/>
        <v>21.611465991254729</v>
      </c>
      <c r="L144" s="15" t="s">
        <v>691</v>
      </c>
      <c r="M144" s="16" t="s">
        <v>692</v>
      </c>
      <c r="N144" s="17">
        <f>VLOOKUP(L144,PL!$A:$S,$C$1+3,FALSE)</f>
        <v>-651995198.39999998</v>
      </c>
      <c r="O144" s="17">
        <f>VLOOKUP(L144,PL!$A:$S,$C$1+4,FALSE)</f>
        <v>288093047.44999999</v>
      </c>
      <c r="P144" s="17">
        <f>VLOOKUP(L144,PL!$A:$S,$C$1+5,FALSE)</f>
        <v>-591105594.30999994</v>
      </c>
      <c r="Q144" s="18">
        <f t="shared" si="38"/>
        <v>940088245.8499999</v>
      </c>
      <c r="R144" s="19">
        <f t="shared" si="39"/>
        <v>-1.4418637562929635</v>
      </c>
      <c r="S144" s="18">
        <f t="shared" si="40"/>
        <v>-879198641.75999999</v>
      </c>
      <c r="T144" s="19">
        <f t="shared" si="41"/>
        <v>-3.0517870859503797</v>
      </c>
    </row>
    <row r="145" spans="2:20" x14ac:dyDescent="0.4">
      <c r="B145" s="6" t="s">
        <v>300</v>
      </c>
      <c r="C145" s="20" t="s">
        <v>301</v>
      </c>
      <c r="D145" s="17">
        <f>VLOOKUP(B145,BS!$A:$S,18,FALSE)-VLOOKUP(B145,BS!$A:$S,$C$1+5,FALSE)-VLOOKUP(B145,BS!$A:$S,$C$1+4,FALSE)</f>
        <v>0</v>
      </c>
      <c r="E145" s="17">
        <f>VLOOKUP(B145,BS!$A:$S,18,FALSE)-VLOOKUP(B145,BS!$A:$S,$C$1+5,FALSE)</f>
        <v>0</v>
      </c>
      <c r="F145" s="17">
        <f>VLOOKUP(B145,BS!$A:$S,18,FALSE)</f>
        <v>0</v>
      </c>
      <c r="G145" s="18">
        <f t="shared" si="34"/>
        <v>0</v>
      </c>
      <c r="H145" s="19">
        <f t="shared" si="35"/>
        <v>0</v>
      </c>
      <c r="I145" s="18">
        <f t="shared" si="36"/>
        <v>0</v>
      </c>
      <c r="J145" s="19">
        <f t="shared" si="37"/>
        <v>0</v>
      </c>
      <c r="L145" s="15" t="s">
        <v>693</v>
      </c>
      <c r="M145" s="16" t="s">
        <v>694</v>
      </c>
      <c r="N145" s="17">
        <f>VLOOKUP(L145,PL!$A:$S,$C$1+3,FALSE)</f>
        <v>0</v>
      </c>
      <c r="O145" s="17">
        <f>VLOOKUP(L145,PL!$A:$S,$C$1+4,FALSE)</f>
        <v>0</v>
      </c>
      <c r="P145" s="17">
        <f>VLOOKUP(L145,PL!$A:$S,$C$1+5,FALSE)</f>
        <v>0</v>
      </c>
      <c r="Q145" s="18">
        <f t="shared" si="38"/>
        <v>0</v>
      </c>
      <c r="R145" s="19">
        <f t="shared" si="39"/>
        <v>0</v>
      </c>
      <c r="S145" s="18">
        <f t="shared" si="40"/>
        <v>0</v>
      </c>
      <c r="T145" s="19">
        <f t="shared" si="41"/>
        <v>0</v>
      </c>
    </row>
    <row r="146" spans="2:20" x14ac:dyDescent="0.4">
      <c r="B146" s="6" t="s">
        <v>302</v>
      </c>
      <c r="C146" s="20" t="s">
        <v>303</v>
      </c>
      <c r="D146" s="17">
        <f>VLOOKUP(B146,BS!$A:$S,18,FALSE)-VLOOKUP(B146,BS!$A:$S,$C$1+5,FALSE)-VLOOKUP(B146,BS!$A:$S,$C$1+4,FALSE)</f>
        <v>0</v>
      </c>
      <c r="E146" s="17">
        <f>VLOOKUP(B146,BS!$A:$S,18,FALSE)-VLOOKUP(B146,BS!$A:$S,$C$1+5,FALSE)</f>
        <v>0</v>
      </c>
      <c r="F146" s="17">
        <f>VLOOKUP(B146,BS!$A:$S,18,FALSE)</f>
        <v>0</v>
      </c>
      <c r="G146" s="18">
        <f t="shared" si="34"/>
        <v>0</v>
      </c>
      <c r="H146" s="19">
        <f t="shared" si="35"/>
        <v>0</v>
      </c>
      <c r="I146" s="18">
        <f t="shared" si="36"/>
        <v>0</v>
      </c>
      <c r="J146" s="19">
        <f t="shared" si="37"/>
        <v>0</v>
      </c>
      <c r="L146" s="6" t="s">
        <v>695</v>
      </c>
      <c r="M146" s="20" t="s">
        <v>694</v>
      </c>
      <c r="N146" s="17">
        <f>VLOOKUP(L146,PL!$A:$S,$C$1+3,FALSE)</f>
        <v>0</v>
      </c>
      <c r="O146" s="17">
        <f>VLOOKUP(L146,PL!$A:$S,$C$1+4,FALSE)</f>
        <v>0</v>
      </c>
      <c r="P146" s="17">
        <f>VLOOKUP(L146,PL!$A:$S,$C$1+5,FALSE)</f>
        <v>0</v>
      </c>
      <c r="Q146" s="18">
        <f t="shared" si="38"/>
        <v>0</v>
      </c>
      <c r="R146" s="19">
        <f t="shared" si="39"/>
        <v>0</v>
      </c>
      <c r="S146" s="18">
        <f t="shared" si="40"/>
        <v>0</v>
      </c>
      <c r="T146" s="19">
        <f t="shared" si="41"/>
        <v>0</v>
      </c>
    </row>
    <row r="147" spans="2:20" x14ac:dyDescent="0.4">
      <c r="B147" s="6" t="s">
        <v>304</v>
      </c>
      <c r="C147" s="20" t="s">
        <v>305</v>
      </c>
      <c r="D147" s="17">
        <f>VLOOKUP(B147,BS!$A:$S,18,FALSE)-VLOOKUP(B147,BS!$A:$S,$C$1+5,FALSE)-VLOOKUP(B147,BS!$A:$S,$C$1+4,FALSE)</f>
        <v>0</v>
      </c>
      <c r="E147" s="17">
        <f>VLOOKUP(B147,BS!$A:$S,18,FALSE)-VLOOKUP(B147,BS!$A:$S,$C$1+5,FALSE)</f>
        <v>0</v>
      </c>
      <c r="F147" s="17">
        <f>VLOOKUP(B147,BS!$A:$S,18,FALSE)</f>
        <v>0</v>
      </c>
      <c r="G147" s="18">
        <f t="shared" si="34"/>
        <v>0</v>
      </c>
      <c r="H147" s="19">
        <f t="shared" si="35"/>
        <v>0</v>
      </c>
      <c r="I147" s="18">
        <f t="shared" si="36"/>
        <v>0</v>
      </c>
      <c r="J147" s="19">
        <f t="shared" si="37"/>
        <v>0</v>
      </c>
      <c r="L147" s="15" t="s">
        <v>696</v>
      </c>
      <c r="M147" s="16" t="s">
        <v>697</v>
      </c>
      <c r="N147" s="17">
        <f>VLOOKUP(L147,PL!$A:$S,$C$1+3,FALSE)</f>
        <v>-651995198.39999998</v>
      </c>
      <c r="O147" s="17">
        <f>VLOOKUP(L147,PL!$A:$S,$C$1+4,FALSE)</f>
        <v>288093047.44999999</v>
      </c>
      <c r="P147" s="17">
        <f>VLOOKUP(L147,PL!$A:$S,$C$1+5,FALSE)</f>
        <v>-591105594.30999994</v>
      </c>
      <c r="Q147" s="18">
        <f t="shared" si="38"/>
        <v>940088245.8499999</v>
      </c>
      <c r="R147" s="19">
        <f t="shared" si="39"/>
        <v>-1.4418637562929635</v>
      </c>
      <c r="S147" s="18">
        <f t="shared" si="40"/>
        <v>-879198641.75999999</v>
      </c>
      <c r="T147" s="19">
        <f t="shared" si="41"/>
        <v>-3.0517870859503797</v>
      </c>
    </row>
    <row r="148" spans="2:20" x14ac:dyDescent="0.4">
      <c r="B148" s="6" t="s">
        <v>306</v>
      </c>
      <c r="C148" s="20" t="s">
        <v>307</v>
      </c>
      <c r="D148" s="17">
        <f>VLOOKUP(B148,BS!$A:$S,18,FALSE)-VLOOKUP(B148,BS!$A:$S,$C$1+5,FALSE)-VLOOKUP(B148,BS!$A:$S,$C$1+4,FALSE)</f>
        <v>0</v>
      </c>
      <c r="E148" s="17">
        <f>VLOOKUP(B148,BS!$A:$S,18,FALSE)-VLOOKUP(B148,BS!$A:$S,$C$1+5,FALSE)</f>
        <v>0</v>
      </c>
      <c r="F148" s="17">
        <f>VLOOKUP(B148,BS!$A:$S,18,FALSE)</f>
        <v>0</v>
      </c>
      <c r="G148" s="18">
        <f t="shared" si="34"/>
        <v>0</v>
      </c>
      <c r="H148" s="19">
        <f t="shared" si="35"/>
        <v>0</v>
      </c>
      <c r="I148" s="18">
        <f t="shared" si="36"/>
        <v>0</v>
      </c>
      <c r="J148" s="19">
        <f t="shared" si="37"/>
        <v>0</v>
      </c>
      <c r="L148" s="6" t="s">
        <v>698</v>
      </c>
      <c r="M148" s="20" t="s">
        <v>699</v>
      </c>
      <c r="N148" s="17">
        <f>VLOOKUP(L148,PL!$A:$S,$C$1+3,FALSE)</f>
        <v>-651995198.39999998</v>
      </c>
      <c r="O148" s="17">
        <f>VLOOKUP(L148,PL!$A:$S,$C$1+4,FALSE)</f>
        <v>288093047.44999999</v>
      </c>
      <c r="P148" s="17">
        <f>VLOOKUP(L148,PL!$A:$S,$C$1+5,FALSE)</f>
        <v>-591105594.30999994</v>
      </c>
      <c r="Q148" s="18">
        <f t="shared" si="38"/>
        <v>940088245.8499999</v>
      </c>
      <c r="R148" s="19">
        <f t="shared" si="39"/>
        <v>-1.4418637562929635</v>
      </c>
      <c r="S148" s="18">
        <f t="shared" si="40"/>
        <v>-879198641.75999999</v>
      </c>
      <c r="T148" s="19">
        <f t="shared" si="41"/>
        <v>-3.0517870859503797</v>
      </c>
    </row>
    <row r="149" spans="2:20" x14ac:dyDescent="0.4">
      <c r="B149" s="6" t="s">
        <v>308</v>
      </c>
      <c r="C149" s="20" t="s">
        <v>309</v>
      </c>
      <c r="D149" s="17">
        <f>VLOOKUP(B149,BS!$A:$S,18,FALSE)-VLOOKUP(B149,BS!$A:$S,$C$1+5,FALSE)-VLOOKUP(B149,BS!$A:$S,$C$1+4,FALSE)</f>
        <v>0</v>
      </c>
      <c r="E149" s="17">
        <f>VLOOKUP(B149,BS!$A:$S,18,FALSE)-VLOOKUP(B149,BS!$A:$S,$C$1+5,FALSE)</f>
        <v>0</v>
      </c>
      <c r="F149" s="17">
        <f>VLOOKUP(B149,BS!$A:$S,18,FALSE)</f>
        <v>0</v>
      </c>
      <c r="G149" s="18">
        <f t="shared" si="34"/>
        <v>0</v>
      </c>
      <c r="H149" s="19">
        <f t="shared" si="35"/>
        <v>0</v>
      </c>
      <c r="I149" s="18">
        <f t="shared" si="36"/>
        <v>0</v>
      </c>
      <c r="J149" s="19">
        <f t="shared" si="37"/>
        <v>0</v>
      </c>
      <c r="L149" s="6" t="s">
        <v>700</v>
      </c>
      <c r="M149" s="21" t="s">
        <v>701</v>
      </c>
      <c r="N149" s="22">
        <f>VLOOKUP(L149,PL!$A:$S,$C$1+3,FALSE)</f>
        <v>0</v>
      </c>
      <c r="O149" s="22">
        <f>VLOOKUP(L149,PL!$A:$S,$C$1+4,FALSE)</f>
        <v>0</v>
      </c>
      <c r="P149" s="22">
        <f>VLOOKUP(L149,PL!$A:$S,$C$1+5,FALSE)</f>
        <v>0</v>
      </c>
      <c r="Q149" s="23">
        <f t="shared" si="38"/>
        <v>0</v>
      </c>
      <c r="R149" s="24">
        <f t="shared" si="39"/>
        <v>0</v>
      </c>
      <c r="S149" s="23">
        <f t="shared" si="40"/>
        <v>0</v>
      </c>
      <c r="T149" s="24">
        <f t="shared" si="41"/>
        <v>0</v>
      </c>
    </row>
    <row r="150" spans="2:20" x14ac:dyDescent="0.4">
      <c r="B150" s="6" t="s">
        <v>310</v>
      </c>
      <c r="C150" s="20" t="s">
        <v>311</v>
      </c>
      <c r="D150" s="17">
        <f>VLOOKUP(B150,BS!$A:$S,18,FALSE)-VLOOKUP(B150,BS!$A:$S,$C$1+5,FALSE)-VLOOKUP(B150,BS!$A:$S,$C$1+4,FALSE)</f>
        <v>0</v>
      </c>
      <c r="E150" s="17">
        <f>VLOOKUP(B150,BS!$A:$S,18,FALSE)-VLOOKUP(B150,BS!$A:$S,$C$1+5,FALSE)</f>
        <v>0</v>
      </c>
      <c r="F150" s="17">
        <f>VLOOKUP(B150,BS!$A:$S,18,FALSE)</f>
        <v>0</v>
      </c>
      <c r="G150" s="18">
        <f t="shared" si="34"/>
        <v>0</v>
      </c>
      <c r="H150" s="19">
        <f t="shared" si="35"/>
        <v>0</v>
      </c>
      <c r="I150" s="18">
        <f t="shared" si="36"/>
        <v>0</v>
      </c>
      <c r="J150" s="19">
        <f t="shared" si="37"/>
        <v>0</v>
      </c>
    </row>
    <row r="151" spans="2:20" x14ac:dyDescent="0.4">
      <c r="B151" s="6" t="s">
        <v>312</v>
      </c>
      <c r="C151" s="20" t="s">
        <v>313</v>
      </c>
      <c r="D151" s="17">
        <f>VLOOKUP(B151,BS!$A:$S,18,FALSE)-VLOOKUP(B151,BS!$A:$S,$C$1+5,FALSE)-VLOOKUP(B151,BS!$A:$S,$C$1+4,FALSE)</f>
        <v>0</v>
      </c>
      <c r="E151" s="17">
        <f>VLOOKUP(B151,BS!$A:$S,18,FALSE)-VLOOKUP(B151,BS!$A:$S,$C$1+5,FALSE)</f>
        <v>0</v>
      </c>
      <c r="F151" s="17">
        <f>VLOOKUP(B151,BS!$A:$S,18,FALSE)</f>
        <v>0</v>
      </c>
      <c r="G151" s="18">
        <f t="shared" si="34"/>
        <v>0</v>
      </c>
      <c r="H151" s="19">
        <f t="shared" si="35"/>
        <v>0</v>
      </c>
      <c r="I151" s="18">
        <f t="shared" si="36"/>
        <v>0</v>
      </c>
      <c r="J151" s="19">
        <f t="shared" si="37"/>
        <v>0</v>
      </c>
    </row>
    <row r="152" spans="2:20" x14ac:dyDescent="0.4">
      <c r="B152" s="6" t="s">
        <v>314</v>
      </c>
      <c r="C152" s="20" t="s">
        <v>315</v>
      </c>
      <c r="D152" s="17">
        <f>VLOOKUP(B152,BS!$A:$S,18,FALSE)-VLOOKUP(B152,BS!$A:$S,$C$1+5,FALSE)-VLOOKUP(B152,BS!$A:$S,$C$1+4,FALSE)</f>
        <v>0</v>
      </c>
      <c r="E152" s="17">
        <f>VLOOKUP(B152,BS!$A:$S,18,FALSE)-VLOOKUP(B152,BS!$A:$S,$C$1+5,FALSE)</f>
        <v>0</v>
      </c>
      <c r="F152" s="17">
        <f>VLOOKUP(B152,BS!$A:$S,18,FALSE)</f>
        <v>0</v>
      </c>
      <c r="G152" s="18">
        <f t="shared" si="34"/>
        <v>0</v>
      </c>
      <c r="H152" s="19">
        <f t="shared" si="35"/>
        <v>0</v>
      </c>
      <c r="I152" s="18">
        <f t="shared" si="36"/>
        <v>0</v>
      </c>
      <c r="J152" s="19">
        <f t="shared" si="37"/>
        <v>0</v>
      </c>
    </row>
    <row r="153" spans="2:20" x14ac:dyDescent="0.4">
      <c r="B153" s="6" t="s">
        <v>316</v>
      </c>
      <c r="C153" s="20" t="s">
        <v>317</v>
      </c>
      <c r="D153" s="17">
        <f>VLOOKUP(B153,BS!$A:$S,18,FALSE)-VLOOKUP(B153,BS!$A:$S,$C$1+5,FALSE)-VLOOKUP(B153,BS!$A:$S,$C$1+4,FALSE)</f>
        <v>0</v>
      </c>
      <c r="E153" s="17">
        <f>VLOOKUP(B153,BS!$A:$S,18,FALSE)-VLOOKUP(B153,BS!$A:$S,$C$1+5,FALSE)</f>
        <v>0</v>
      </c>
      <c r="F153" s="17">
        <f>VLOOKUP(B153,BS!$A:$S,18,FALSE)</f>
        <v>0</v>
      </c>
      <c r="G153" s="18">
        <f t="shared" si="34"/>
        <v>0</v>
      </c>
      <c r="H153" s="19">
        <f t="shared" si="35"/>
        <v>0</v>
      </c>
      <c r="I153" s="18">
        <f t="shared" si="36"/>
        <v>0</v>
      </c>
      <c r="J153" s="19">
        <f t="shared" si="37"/>
        <v>0</v>
      </c>
    </row>
    <row r="154" spans="2:20" x14ac:dyDescent="0.4">
      <c r="B154" s="6" t="s">
        <v>318</v>
      </c>
      <c r="C154" s="20" t="s">
        <v>319</v>
      </c>
      <c r="D154" s="17">
        <f>VLOOKUP(B154,BS!$A:$S,18,FALSE)-VLOOKUP(B154,BS!$A:$S,$C$1+5,FALSE)-VLOOKUP(B154,BS!$A:$S,$C$1+4,FALSE)</f>
        <v>0</v>
      </c>
      <c r="E154" s="17">
        <f>VLOOKUP(B154,BS!$A:$S,18,FALSE)-VLOOKUP(B154,BS!$A:$S,$C$1+5,FALSE)</f>
        <v>0</v>
      </c>
      <c r="F154" s="17">
        <f>VLOOKUP(B154,BS!$A:$S,18,FALSE)</f>
        <v>0</v>
      </c>
      <c r="G154" s="18">
        <f t="shared" si="34"/>
        <v>0</v>
      </c>
      <c r="H154" s="19">
        <f t="shared" si="35"/>
        <v>0</v>
      </c>
      <c r="I154" s="18">
        <f t="shared" si="36"/>
        <v>0</v>
      </c>
      <c r="J154" s="19">
        <f t="shared" si="37"/>
        <v>0</v>
      </c>
    </row>
    <row r="155" spans="2:20" x14ac:dyDescent="0.4">
      <c r="B155" s="6" t="s">
        <v>320</v>
      </c>
      <c r="C155" s="20" t="s">
        <v>321</v>
      </c>
      <c r="D155" s="17">
        <f>VLOOKUP(B155,BS!$A:$S,18,FALSE)-VLOOKUP(B155,BS!$A:$S,$C$1+5,FALSE)-VLOOKUP(B155,BS!$A:$S,$C$1+4,FALSE)</f>
        <v>0</v>
      </c>
      <c r="E155" s="17">
        <f>VLOOKUP(B155,BS!$A:$S,18,FALSE)-VLOOKUP(B155,BS!$A:$S,$C$1+5,FALSE)</f>
        <v>0</v>
      </c>
      <c r="F155" s="17">
        <f>VLOOKUP(B155,BS!$A:$S,18,FALSE)</f>
        <v>0</v>
      </c>
      <c r="G155" s="18">
        <f t="shared" si="34"/>
        <v>0</v>
      </c>
      <c r="H155" s="19">
        <f t="shared" si="35"/>
        <v>0</v>
      </c>
      <c r="I155" s="18">
        <f t="shared" si="36"/>
        <v>0</v>
      </c>
      <c r="J155" s="19">
        <f t="shared" si="37"/>
        <v>0</v>
      </c>
    </row>
    <row r="156" spans="2:20" x14ac:dyDescent="0.4">
      <c r="B156" s="6" t="s">
        <v>322</v>
      </c>
      <c r="C156" s="20" t="s">
        <v>323</v>
      </c>
      <c r="D156" s="17">
        <f>VLOOKUP(B156,BS!$A:$S,18,FALSE)-VLOOKUP(B156,BS!$A:$S,$C$1+5,FALSE)-VLOOKUP(B156,BS!$A:$S,$C$1+4,FALSE)</f>
        <v>0</v>
      </c>
      <c r="E156" s="17">
        <f>VLOOKUP(B156,BS!$A:$S,18,FALSE)-VLOOKUP(B156,BS!$A:$S,$C$1+5,FALSE)</f>
        <v>0</v>
      </c>
      <c r="F156" s="17">
        <f>VLOOKUP(B156,BS!$A:$S,18,FALSE)</f>
        <v>0</v>
      </c>
      <c r="G156" s="18">
        <f t="shared" si="34"/>
        <v>0</v>
      </c>
      <c r="H156" s="19">
        <f t="shared" si="35"/>
        <v>0</v>
      </c>
      <c r="I156" s="18">
        <f t="shared" si="36"/>
        <v>0</v>
      </c>
      <c r="J156" s="19">
        <f t="shared" si="37"/>
        <v>0</v>
      </c>
    </row>
    <row r="157" spans="2:20" x14ac:dyDescent="0.4">
      <c r="B157" s="6" t="s">
        <v>324</v>
      </c>
      <c r="C157" s="20" t="s">
        <v>325</v>
      </c>
      <c r="D157" s="17">
        <f>VLOOKUP(B157,BS!$A:$S,18,FALSE)-VLOOKUP(B157,BS!$A:$S,$C$1+5,FALSE)-VLOOKUP(B157,BS!$A:$S,$C$1+4,FALSE)</f>
        <v>0</v>
      </c>
      <c r="E157" s="17">
        <f>VLOOKUP(B157,BS!$A:$S,18,FALSE)-VLOOKUP(B157,BS!$A:$S,$C$1+5,FALSE)</f>
        <v>0</v>
      </c>
      <c r="F157" s="17">
        <f>VLOOKUP(B157,BS!$A:$S,18,FALSE)</f>
        <v>0</v>
      </c>
      <c r="G157" s="18">
        <f t="shared" si="34"/>
        <v>0</v>
      </c>
      <c r="H157" s="19">
        <f t="shared" si="35"/>
        <v>0</v>
      </c>
      <c r="I157" s="18">
        <f t="shared" si="36"/>
        <v>0</v>
      </c>
      <c r="J157" s="19">
        <f t="shared" si="37"/>
        <v>0</v>
      </c>
    </row>
    <row r="158" spans="2:20" x14ac:dyDescent="0.4">
      <c r="B158" s="6" t="s">
        <v>326</v>
      </c>
      <c r="C158" s="20" t="s">
        <v>327</v>
      </c>
      <c r="D158" s="17">
        <f>VLOOKUP(B158,BS!$A:$S,18,FALSE)-VLOOKUP(B158,BS!$A:$S,$C$1+5,FALSE)-VLOOKUP(B158,BS!$A:$S,$C$1+4,FALSE)</f>
        <v>143083050</v>
      </c>
      <c r="E158" s="17">
        <f>VLOOKUP(B158,BS!$A:$S,18,FALSE)-VLOOKUP(B158,BS!$A:$S,$C$1+5,FALSE)</f>
        <v>143083050</v>
      </c>
      <c r="F158" s="17">
        <f>VLOOKUP(B158,BS!$A:$S,18,FALSE)</f>
        <v>3235317519</v>
      </c>
      <c r="G158" s="18">
        <f t="shared" si="34"/>
        <v>0</v>
      </c>
      <c r="H158" s="19">
        <f t="shared" si="35"/>
        <v>0</v>
      </c>
      <c r="I158" s="18">
        <f t="shared" si="36"/>
        <v>3092234469</v>
      </c>
      <c r="J158" s="19">
        <f t="shared" si="37"/>
        <v>21.611465991254729</v>
      </c>
    </row>
    <row r="159" spans="2:20" x14ac:dyDescent="0.4">
      <c r="B159" s="6" t="s">
        <v>328</v>
      </c>
      <c r="C159" s="20" t="s">
        <v>329</v>
      </c>
      <c r="D159" s="17">
        <f>VLOOKUP(B159,BS!$A:$S,18,FALSE)-VLOOKUP(B159,BS!$A:$S,$C$1+5,FALSE)-VLOOKUP(B159,BS!$A:$S,$C$1+4,FALSE)</f>
        <v>0</v>
      </c>
      <c r="E159" s="17">
        <f>VLOOKUP(B159,BS!$A:$S,18,FALSE)-VLOOKUP(B159,BS!$A:$S,$C$1+5,FALSE)</f>
        <v>0</v>
      </c>
      <c r="F159" s="17">
        <f>VLOOKUP(B159,BS!$A:$S,18,FALSE)</f>
        <v>0</v>
      </c>
      <c r="G159" s="18">
        <f t="shared" si="34"/>
        <v>0</v>
      </c>
      <c r="H159" s="19">
        <f t="shared" si="35"/>
        <v>0</v>
      </c>
      <c r="I159" s="18">
        <f t="shared" si="36"/>
        <v>0</v>
      </c>
      <c r="J159" s="19">
        <f t="shared" si="37"/>
        <v>0</v>
      </c>
    </row>
    <row r="160" spans="2:20" x14ac:dyDescent="0.4">
      <c r="B160" s="6" t="s">
        <v>330</v>
      </c>
      <c r="C160" s="20" t="s">
        <v>331</v>
      </c>
      <c r="D160" s="17">
        <f>VLOOKUP(B160,BS!$A:$S,18,FALSE)-VLOOKUP(B160,BS!$A:$S,$C$1+5,FALSE)-VLOOKUP(B160,BS!$A:$S,$C$1+4,FALSE)</f>
        <v>0</v>
      </c>
      <c r="E160" s="17">
        <f>VLOOKUP(B160,BS!$A:$S,18,FALSE)-VLOOKUP(B160,BS!$A:$S,$C$1+5,FALSE)</f>
        <v>0</v>
      </c>
      <c r="F160" s="17">
        <f>VLOOKUP(B160,BS!$A:$S,18,FALSE)</f>
        <v>0</v>
      </c>
      <c r="G160" s="18">
        <f t="shared" si="34"/>
        <v>0</v>
      </c>
      <c r="H160" s="19">
        <f t="shared" si="35"/>
        <v>0</v>
      </c>
      <c r="I160" s="18">
        <f t="shared" si="36"/>
        <v>0</v>
      </c>
      <c r="J160" s="19">
        <f t="shared" si="37"/>
        <v>0</v>
      </c>
    </row>
    <row r="161" spans="2:10" x14ac:dyDescent="0.4">
      <c r="B161" s="6" t="s">
        <v>332</v>
      </c>
      <c r="C161" s="20" t="s">
        <v>333</v>
      </c>
      <c r="D161" s="17">
        <f>VLOOKUP(B161,BS!$A:$S,18,FALSE)-VLOOKUP(B161,BS!$A:$S,$C$1+5,FALSE)-VLOOKUP(B161,BS!$A:$S,$C$1+4,FALSE)</f>
        <v>0</v>
      </c>
      <c r="E161" s="17">
        <f>VLOOKUP(B161,BS!$A:$S,18,FALSE)-VLOOKUP(B161,BS!$A:$S,$C$1+5,FALSE)</f>
        <v>0</v>
      </c>
      <c r="F161" s="17">
        <f>VLOOKUP(B161,BS!$A:$S,18,FALSE)</f>
        <v>0</v>
      </c>
      <c r="G161" s="18">
        <f t="shared" si="34"/>
        <v>0</v>
      </c>
      <c r="H161" s="19">
        <f t="shared" si="35"/>
        <v>0</v>
      </c>
      <c r="I161" s="18">
        <f t="shared" si="36"/>
        <v>0</v>
      </c>
      <c r="J161" s="19">
        <f t="shared" si="37"/>
        <v>0</v>
      </c>
    </row>
    <row r="162" spans="2:10" x14ac:dyDescent="0.4">
      <c r="B162" s="15" t="s">
        <v>334</v>
      </c>
      <c r="C162" s="16" t="s">
        <v>335</v>
      </c>
      <c r="D162" s="17">
        <f>VLOOKUP(B162,BS!$A:$S,18,FALSE)-VLOOKUP(B162,BS!$A:$S,$C$1+5,FALSE)-VLOOKUP(B162,BS!$A:$S,$C$1+4,FALSE)</f>
        <v>-6071003927.999999</v>
      </c>
      <c r="E162" s="17">
        <f>VLOOKUP(B162,BS!$A:$S,18,FALSE)-VLOOKUP(B162,BS!$A:$S,$C$1+5,FALSE)</f>
        <v>-5782910880.5499992</v>
      </c>
      <c r="F162" s="17">
        <f>VLOOKUP(B162,BS!$A:$S,18,FALSE)</f>
        <v>-6374016474.8599997</v>
      </c>
      <c r="G162" s="18">
        <f t="shared" si="34"/>
        <v>288093047.44999981</v>
      </c>
      <c r="H162" s="19">
        <f t="shared" si="35"/>
        <v>-4.7453938568757889E-2</v>
      </c>
      <c r="I162" s="18">
        <f t="shared" si="36"/>
        <v>-591105594.31000042</v>
      </c>
      <c r="J162" s="19">
        <f t="shared" si="37"/>
        <v>0.10221592663620328</v>
      </c>
    </row>
    <row r="163" spans="2:10" x14ac:dyDescent="0.4">
      <c r="B163" s="15" t="s">
        <v>336</v>
      </c>
      <c r="C163" s="16" t="s">
        <v>337</v>
      </c>
      <c r="D163" s="17">
        <f>VLOOKUP(B163,BS!$A:$S,18,FALSE)-VLOOKUP(B163,BS!$A:$S,$C$1+5,FALSE)-VLOOKUP(B163,BS!$A:$S,$C$1+4,FALSE)</f>
        <v>1612584500</v>
      </c>
      <c r="E163" s="17">
        <f>VLOOKUP(B163,BS!$A:$S,18,FALSE)-VLOOKUP(B163,BS!$A:$S,$C$1+5,FALSE)</f>
        <v>1612584500</v>
      </c>
      <c r="F163" s="17">
        <f>VLOOKUP(B163,BS!$A:$S,18,FALSE)</f>
        <v>1612584500</v>
      </c>
      <c r="G163" s="18">
        <f t="shared" si="34"/>
        <v>0</v>
      </c>
      <c r="H163" s="19">
        <f t="shared" si="35"/>
        <v>0</v>
      </c>
      <c r="I163" s="18">
        <f t="shared" si="36"/>
        <v>0</v>
      </c>
      <c r="J163" s="19">
        <f t="shared" si="37"/>
        <v>0</v>
      </c>
    </row>
    <row r="164" spans="2:10" x14ac:dyDescent="0.4">
      <c r="B164" s="6" t="s">
        <v>338</v>
      </c>
      <c r="C164" s="20" t="s">
        <v>339</v>
      </c>
      <c r="D164" s="17">
        <f>VLOOKUP(B164,BS!$A:$S,18,FALSE)-VLOOKUP(B164,BS!$A:$S,$C$1+5,FALSE)-VLOOKUP(B164,BS!$A:$S,$C$1+4,FALSE)</f>
        <v>1612584500</v>
      </c>
      <c r="E164" s="17">
        <f>VLOOKUP(B164,BS!$A:$S,18,FALSE)-VLOOKUP(B164,BS!$A:$S,$C$1+5,FALSE)</f>
        <v>1612584500</v>
      </c>
      <c r="F164" s="17">
        <f>VLOOKUP(B164,BS!$A:$S,18,FALSE)</f>
        <v>1612584500</v>
      </c>
      <c r="G164" s="18">
        <f t="shared" si="34"/>
        <v>0</v>
      </c>
      <c r="H164" s="19">
        <f t="shared" si="35"/>
        <v>0</v>
      </c>
      <c r="I164" s="18">
        <f t="shared" si="36"/>
        <v>0</v>
      </c>
      <c r="J164" s="19">
        <f t="shared" si="37"/>
        <v>0</v>
      </c>
    </row>
    <row r="165" spans="2:10" x14ac:dyDescent="0.4">
      <c r="B165" s="6" t="s">
        <v>340</v>
      </c>
      <c r="C165" s="20" t="s">
        <v>341</v>
      </c>
      <c r="D165" s="17">
        <f>VLOOKUP(B165,BS!$A:$S,18,FALSE)-VLOOKUP(B165,BS!$A:$S,$C$1+5,FALSE)-VLOOKUP(B165,BS!$A:$S,$C$1+4,FALSE)</f>
        <v>0</v>
      </c>
      <c r="E165" s="17">
        <f>VLOOKUP(B165,BS!$A:$S,18,FALSE)-VLOOKUP(B165,BS!$A:$S,$C$1+5,FALSE)</f>
        <v>0</v>
      </c>
      <c r="F165" s="17">
        <f>VLOOKUP(B165,BS!$A:$S,18,FALSE)</f>
        <v>0</v>
      </c>
      <c r="G165" s="18">
        <f t="shared" si="34"/>
        <v>0</v>
      </c>
      <c r="H165" s="19">
        <f t="shared" si="35"/>
        <v>0</v>
      </c>
      <c r="I165" s="18">
        <f t="shared" si="36"/>
        <v>0</v>
      </c>
      <c r="J165" s="19">
        <f t="shared" si="37"/>
        <v>0</v>
      </c>
    </row>
    <row r="166" spans="2:10" x14ac:dyDescent="0.4">
      <c r="B166" s="15" t="s">
        <v>342</v>
      </c>
      <c r="C166" s="16" t="s">
        <v>343</v>
      </c>
      <c r="D166" s="17">
        <f>VLOOKUP(B166,BS!$A:$S,18,FALSE)-VLOOKUP(B166,BS!$A:$S,$C$1+5,FALSE)-VLOOKUP(B166,BS!$A:$S,$C$1+4,FALSE)</f>
        <v>0</v>
      </c>
      <c r="E166" s="17">
        <f>VLOOKUP(B166,BS!$A:$S,18,FALSE)-VLOOKUP(B166,BS!$A:$S,$C$1+5,FALSE)</f>
        <v>0</v>
      </c>
      <c r="F166" s="17">
        <f>VLOOKUP(B166,BS!$A:$S,18,FALSE)</f>
        <v>0</v>
      </c>
      <c r="G166" s="18">
        <f t="shared" si="34"/>
        <v>0</v>
      </c>
      <c r="H166" s="19">
        <f t="shared" si="35"/>
        <v>0</v>
      </c>
      <c r="I166" s="18">
        <f t="shared" si="36"/>
        <v>0</v>
      </c>
      <c r="J166" s="19">
        <f t="shared" si="37"/>
        <v>0</v>
      </c>
    </row>
    <row r="167" spans="2:10" x14ac:dyDescent="0.4">
      <c r="B167" s="6" t="s">
        <v>344</v>
      </c>
      <c r="C167" s="20" t="s">
        <v>345</v>
      </c>
      <c r="D167" s="17">
        <f>VLOOKUP(B167,BS!$A:$S,18,FALSE)-VLOOKUP(B167,BS!$A:$S,$C$1+5,FALSE)-VLOOKUP(B167,BS!$A:$S,$C$1+4,FALSE)</f>
        <v>0</v>
      </c>
      <c r="E167" s="17">
        <f>VLOOKUP(B167,BS!$A:$S,18,FALSE)-VLOOKUP(B167,BS!$A:$S,$C$1+5,FALSE)</f>
        <v>0</v>
      </c>
      <c r="F167" s="17">
        <f>VLOOKUP(B167,BS!$A:$S,18,FALSE)</f>
        <v>0</v>
      </c>
      <c r="G167" s="18">
        <f t="shared" si="34"/>
        <v>0</v>
      </c>
      <c r="H167" s="19">
        <f t="shared" si="35"/>
        <v>0</v>
      </c>
      <c r="I167" s="18">
        <f t="shared" si="36"/>
        <v>0</v>
      </c>
      <c r="J167" s="19">
        <f t="shared" si="37"/>
        <v>0</v>
      </c>
    </row>
    <row r="168" spans="2:10" x14ac:dyDescent="0.4">
      <c r="B168" s="6" t="s">
        <v>346</v>
      </c>
      <c r="C168" s="20" t="s">
        <v>347</v>
      </c>
      <c r="D168" s="17">
        <f>VLOOKUP(B168,BS!$A:$S,18,FALSE)-VLOOKUP(B168,BS!$A:$S,$C$1+5,FALSE)-VLOOKUP(B168,BS!$A:$S,$C$1+4,FALSE)</f>
        <v>0</v>
      </c>
      <c r="E168" s="17">
        <f>VLOOKUP(B168,BS!$A:$S,18,FALSE)-VLOOKUP(B168,BS!$A:$S,$C$1+5,FALSE)</f>
        <v>0</v>
      </c>
      <c r="F168" s="17">
        <f>VLOOKUP(B168,BS!$A:$S,18,FALSE)</f>
        <v>0</v>
      </c>
      <c r="G168" s="18">
        <f t="shared" si="34"/>
        <v>0</v>
      </c>
      <c r="H168" s="19">
        <f t="shared" si="35"/>
        <v>0</v>
      </c>
      <c r="I168" s="18">
        <f t="shared" si="36"/>
        <v>0</v>
      </c>
      <c r="J168" s="19">
        <f t="shared" si="37"/>
        <v>0</v>
      </c>
    </row>
    <row r="169" spans="2:10" x14ac:dyDescent="0.4">
      <c r="B169" s="6" t="s">
        <v>348</v>
      </c>
      <c r="C169" s="20" t="s">
        <v>349</v>
      </c>
      <c r="D169" s="17">
        <f>VLOOKUP(B169,BS!$A:$S,18,FALSE)-VLOOKUP(B169,BS!$A:$S,$C$1+5,FALSE)-VLOOKUP(B169,BS!$A:$S,$C$1+4,FALSE)</f>
        <v>0</v>
      </c>
      <c r="E169" s="17">
        <f>VLOOKUP(B169,BS!$A:$S,18,FALSE)-VLOOKUP(B169,BS!$A:$S,$C$1+5,FALSE)</f>
        <v>0</v>
      </c>
      <c r="F169" s="17">
        <f>VLOOKUP(B169,BS!$A:$S,18,FALSE)</f>
        <v>0</v>
      </c>
      <c r="G169" s="18">
        <f t="shared" si="34"/>
        <v>0</v>
      </c>
      <c r="H169" s="19">
        <f t="shared" si="35"/>
        <v>0</v>
      </c>
      <c r="I169" s="18">
        <f t="shared" si="36"/>
        <v>0</v>
      </c>
      <c r="J169" s="19">
        <f t="shared" si="37"/>
        <v>0</v>
      </c>
    </row>
    <row r="170" spans="2:10" x14ac:dyDescent="0.4">
      <c r="B170" s="6" t="s">
        <v>350</v>
      </c>
      <c r="C170" s="20" t="s">
        <v>351</v>
      </c>
      <c r="D170" s="17">
        <f>VLOOKUP(B170,BS!$A:$S,18,FALSE)-VLOOKUP(B170,BS!$A:$S,$C$1+5,FALSE)-VLOOKUP(B170,BS!$A:$S,$C$1+4,FALSE)</f>
        <v>0</v>
      </c>
      <c r="E170" s="17">
        <f>VLOOKUP(B170,BS!$A:$S,18,FALSE)-VLOOKUP(B170,BS!$A:$S,$C$1+5,FALSE)</f>
        <v>0</v>
      </c>
      <c r="F170" s="17">
        <f>VLOOKUP(B170,BS!$A:$S,18,FALSE)</f>
        <v>0</v>
      </c>
      <c r="G170" s="18">
        <f t="shared" si="34"/>
        <v>0</v>
      </c>
      <c r="H170" s="19">
        <f t="shared" si="35"/>
        <v>0</v>
      </c>
      <c r="I170" s="18">
        <f t="shared" si="36"/>
        <v>0</v>
      </c>
      <c r="J170" s="19">
        <f t="shared" si="37"/>
        <v>0</v>
      </c>
    </row>
    <row r="171" spans="2:10" x14ac:dyDescent="0.4">
      <c r="B171" s="6" t="s">
        <v>352</v>
      </c>
      <c r="C171" s="20" t="s">
        <v>353</v>
      </c>
      <c r="D171" s="17">
        <f>VLOOKUP(B171,BS!$A:$S,18,FALSE)-VLOOKUP(B171,BS!$A:$S,$C$1+5,FALSE)-VLOOKUP(B171,BS!$A:$S,$C$1+4,FALSE)</f>
        <v>0</v>
      </c>
      <c r="E171" s="17">
        <f>VLOOKUP(B171,BS!$A:$S,18,FALSE)-VLOOKUP(B171,BS!$A:$S,$C$1+5,FALSE)</f>
        <v>0</v>
      </c>
      <c r="F171" s="17">
        <f>VLOOKUP(B171,BS!$A:$S,18,FALSE)</f>
        <v>0</v>
      </c>
      <c r="G171" s="18">
        <f t="shared" si="34"/>
        <v>0</v>
      </c>
      <c r="H171" s="19">
        <f t="shared" si="35"/>
        <v>0</v>
      </c>
      <c r="I171" s="18">
        <f t="shared" si="36"/>
        <v>0</v>
      </c>
      <c r="J171" s="19">
        <f t="shared" si="37"/>
        <v>0</v>
      </c>
    </row>
    <row r="172" spans="2:10" x14ac:dyDescent="0.4">
      <c r="B172" s="6" t="s">
        <v>354</v>
      </c>
      <c r="C172" s="20" t="s">
        <v>355</v>
      </c>
      <c r="D172" s="17">
        <f>VLOOKUP(B172,BS!$A:$S,18,FALSE)-VLOOKUP(B172,BS!$A:$S,$C$1+5,FALSE)-VLOOKUP(B172,BS!$A:$S,$C$1+4,FALSE)</f>
        <v>0</v>
      </c>
      <c r="E172" s="17">
        <f>VLOOKUP(B172,BS!$A:$S,18,FALSE)-VLOOKUP(B172,BS!$A:$S,$C$1+5,FALSE)</f>
        <v>0</v>
      </c>
      <c r="F172" s="17">
        <f>VLOOKUP(B172,BS!$A:$S,18,FALSE)</f>
        <v>0</v>
      </c>
      <c r="G172" s="18">
        <f t="shared" si="34"/>
        <v>0</v>
      </c>
      <c r="H172" s="19">
        <f t="shared" si="35"/>
        <v>0</v>
      </c>
      <c r="I172" s="18">
        <f t="shared" si="36"/>
        <v>0</v>
      </c>
      <c r="J172" s="19">
        <f t="shared" si="37"/>
        <v>0</v>
      </c>
    </row>
    <row r="173" spans="2:10" x14ac:dyDescent="0.4">
      <c r="B173" s="6" t="s">
        <v>356</v>
      </c>
      <c r="C173" s="20" t="s">
        <v>357</v>
      </c>
      <c r="D173" s="17">
        <f>VLOOKUP(B173,BS!$A:$S,18,FALSE)-VLOOKUP(B173,BS!$A:$S,$C$1+5,FALSE)-VLOOKUP(B173,BS!$A:$S,$C$1+4,FALSE)</f>
        <v>0</v>
      </c>
      <c r="E173" s="17">
        <f>VLOOKUP(B173,BS!$A:$S,18,FALSE)-VLOOKUP(B173,BS!$A:$S,$C$1+5,FALSE)</f>
        <v>0</v>
      </c>
      <c r="F173" s="17">
        <f>VLOOKUP(B173,BS!$A:$S,18,FALSE)</f>
        <v>0</v>
      </c>
      <c r="G173" s="18">
        <f t="shared" si="34"/>
        <v>0</v>
      </c>
      <c r="H173" s="19">
        <f t="shared" si="35"/>
        <v>0</v>
      </c>
      <c r="I173" s="18">
        <f t="shared" si="36"/>
        <v>0</v>
      </c>
      <c r="J173" s="19">
        <f t="shared" si="37"/>
        <v>0</v>
      </c>
    </row>
    <row r="174" spans="2:10" x14ac:dyDescent="0.4">
      <c r="B174" s="15" t="s">
        <v>358</v>
      </c>
      <c r="C174" s="16" t="s">
        <v>359</v>
      </c>
      <c r="D174" s="17">
        <f>VLOOKUP(B174,BS!$A:$S,18,FALSE)-VLOOKUP(B174,BS!$A:$S,$C$1+5,FALSE)-VLOOKUP(B174,BS!$A:$S,$C$1+4,FALSE)</f>
        <v>1361356.62</v>
      </c>
      <c r="E174" s="17">
        <f>VLOOKUP(B174,BS!$A:$S,18,FALSE)-VLOOKUP(B174,BS!$A:$S,$C$1+5,FALSE)</f>
        <v>1361356.62</v>
      </c>
      <c r="F174" s="17">
        <f>VLOOKUP(B174,BS!$A:$S,18,FALSE)</f>
        <v>1361356.62</v>
      </c>
      <c r="G174" s="18">
        <f t="shared" si="34"/>
        <v>0</v>
      </c>
      <c r="H174" s="19">
        <f t="shared" si="35"/>
        <v>0</v>
      </c>
      <c r="I174" s="18">
        <f t="shared" si="36"/>
        <v>0</v>
      </c>
      <c r="J174" s="19">
        <f t="shared" si="37"/>
        <v>0</v>
      </c>
    </row>
    <row r="175" spans="2:10" x14ac:dyDescent="0.4">
      <c r="B175" s="6" t="s">
        <v>360</v>
      </c>
      <c r="C175" s="20" t="s">
        <v>361</v>
      </c>
      <c r="D175" s="17">
        <f>VLOOKUP(B175,BS!$A:$S,18,FALSE)-VLOOKUP(B175,BS!$A:$S,$C$1+5,FALSE)-VLOOKUP(B175,BS!$A:$S,$C$1+4,FALSE)</f>
        <v>0</v>
      </c>
      <c r="E175" s="17">
        <f>VLOOKUP(B175,BS!$A:$S,18,FALSE)-VLOOKUP(B175,BS!$A:$S,$C$1+5,FALSE)</f>
        <v>0</v>
      </c>
      <c r="F175" s="17">
        <f>VLOOKUP(B175,BS!$A:$S,18,FALSE)</f>
        <v>0</v>
      </c>
      <c r="G175" s="18">
        <f t="shared" si="34"/>
        <v>0</v>
      </c>
      <c r="H175" s="19">
        <f t="shared" si="35"/>
        <v>0</v>
      </c>
      <c r="I175" s="18">
        <f t="shared" si="36"/>
        <v>0</v>
      </c>
      <c r="J175" s="19">
        <f t="shared" si="37"/>
        <v>0</v>
      </c>
    </row>
    <row r="176" spans="2:10" x14ac:dyDescent="0.4">
      <c r="B176" s="6" t="s">
        <v>362</v>
      </c>
      <c r="C176" s="20" t="s">
        <v>363</v>
      </c>
      <c r="D176" s="17">
        <f>VLOOKUP(B176,BS!$A:$S,18,FALSE)-VLOOKUP(B176,BS!$A:$S,$C$1+5,FALSE)-VLOOKUP(B176,BS!$A:$S,$C$1+4,FALSE)</f>
        <v>0</v>
      </c>
      <c r="E176" s="17">
        <f>VLOOKUP(B176,BS!$A:$S,18,FALSE)-VLOOKUP(B176,BS!$A:$S,$C$1+5,FALSE)</f>
        <v>0</v>
      </c>
      <c r="F176" s="17">
        <f>VLOOKUP(B176,BS!$A:$S,18,FALSE)</f>
        <v>0</v>
      </c>
      <c r="G176" s="18">
        <f t="shared" si="34"/>
        <v>0</v>
      </c>
      <c r="H176" s="19">
        <f t="shared" si="35"/>
        <v>0</v>
      </c>
      <c r="I176" s="18">
        <f t="shared" si="36"/>
        <v>0</v>
      </c>
      <c r="J176" s="19">
        <f t="shared" si="37"/>
        <v>0</v>
      </c>
    </row>
    <row r="177" spans="2:10" x14ac:dyDescent="0.4">
      <c r="B177" s="6" t="s">
        <v>364</v>
      </c>
      <c r="C177" s="20" t="s">
        <v>365</v>
      </c>
      <c r="D177" s="17">
        <f>VLOOKUP(B177,BS!$A:$S,18,FALSE)-VLOOKUP(B177,BS!$A:$S,$C$1+5,FALSE)-VLOOKUP(B177,BS!$A:$S,$C$1+4,FALSE)</f>
        <v>0</v>
      </c>
      <c r="E177" s="17">
        <f>VLOOKUP(B177,BS!$A:$S,18,FALSE)-VLOOKUP(B177,BS!$A:$S,$C$1+5,FALSE)</f>
        <v>0</v>
      </c>
      <c r="F177" s="17">
        <f>VLOOKUP(B177,BS!$A:$S,18,FALSE)</f>
        <v>0</v>
      </c>
      <c r="G177" s="18">
        <f t="shared" si="34"/>
        <v>0</v>
      </c>
      <c r="H177" s="19">
        <f t="shared" si="35"/>
        <v>0</v>
      </c>
      <c r="I177" s="18">
        <f t="shared" si="36"/>
        <v>0</v>
      </c>
      <c r="J177" s="19">
        <f t="shared" si="37"/>
        <v>0</v>
      </c>
    </row>
    <row r="178" spans="2:10" x14ac:dyDescent="0.4">
      <c r="B178" s="6" t="s">
        <v>366</v>
      </c>
      <c r="C178" s="20" t="s">
        <v>367</v>
      </c>
      <c r="D178" s="17">
        <f>VLOOKUP(B178,BS!$A:$S,18,FALSE)-VLOOKUP(B178,BS!$A:$S,$C$1+5,FALSE)-VLOOKUP(B178,BS!$A:$S,$C$1+4,FALSE)</f>
        <v>0</v>
      </c>
      <c r="E178" s="17">
        <f>VLOOKUP(B178,BS!$A:$S,18,FALSE)-VLOOKUP(B178,BS!$A:$S,$C$1+5,FALSE)</f>
        <v>0</v>
      </c>
      <c r="F178" s="17">
        <f>VLOOKUP(B178,BS!$A:$S,18,FALSE)</f>
        <v>0</v>
      </c>
      <c r="G178" s="18">
        <f t="shared" si="34"/>
        <v>0</v>
      </c>
      <c r="H178" s="19">
        <f t="shared" si="35"/>
        <v>0</v>
      </c>
      <c r="I178" s="18">
        <f t="shared" si="36"/>
        <v>0</v>
      </c>
      <c r="J178" s="19">
        <f t="shared" si="37"/>
        <v>0</v>
      </c>
    </row>
    <row r="179" spans="2:10" x14ac:dyDescent="0.4">
      <c r="B179" s="6" t="s">
        <v>368</v>
      </c>
      <c r="C179" s="20" t="s">
        <v>369</v>
      </c>
      <c r="D179" s="17">
        <f>VLOOKUP(B179,BS!$A:$S,18,FALSE)-VLOOKUP(B179,BS!$A:$S,$C$1+5,FALSE)-VLOOKUP(B179,BS!$A:$S,$C$1+4,FALSE)</f>
        <v>0</v>
      </c>
      <c r="E179" s="17">
        <f>VLOOKUP(B179,BS!$A:$S,18,FALSE)-VLOOKUP(B179,BS!$A:$S,$C$1+5,FALSE)</f>
        <v>0</v>
      </c>
      <c r="F179" s="17">
        <f>VLOOKUP(B179,BS!$A:$S,18,FALSE)</f>
        <v>0</v>
      </c>
      <c r="G179" s="18">
        <f t="shared" si="34"/>
        <v>0</v>
      </c>
      <c r="H179" s="19">
        <f t="shared" si="35"/>
        <v>0</v>
      </c>
      <c r="I179" s="18">
        <f t="shared" si="36"/>
        <v>0</v>
      </c>
      <c r="J179" s="19">
        <f t="shared" si="37"/>
        <v>0</v>
      </c>
    </row>
    <row r="180" spans="2:10" x14ac:dyDescent="0.4">
      <c r="B180" s="6" t="s">
        <v>370</v>
      </c>
      <c r="C180" s="20" t="s">
        <v>371</v>
      </c>
      <c r="D180" s="17">
        <f>VLOOKUP(B180,BS!$A:$S,18,FALSE)-VLOOKUP(B180,BS!$A:$S,$C$1+5,FALSE)-VLOOKUP(B180,BS!$A:$S,$C$1+4,FALSE)</f>
        <v>0</v>
      </c>
      <c r="E180" s="17">
        <f>VLOOKUP(B180,BS!$A:$S,18,FALSE)-VLOOKUP(B180,BS!$A:$S,$C$1+5,FALSE)</f>
        <v>0</v>
      </c>
      <c r="F180" s="17">
        <f>VLOOKUP(B180,BS!$A:$S,18,FALSE)</f>
        <v>0</v>
      </c>
      <c r="G180" s="18">
        <f t="shared" si="34"/>
        <v>0</v>
      </c>
      <c r="H180" s="19">
        <f t="shared" si="35"/>
        <v>0</v>
      </c>
      <c r="I180" s="18">
        <f t="shared" si="36"/>
        <v>0</v>
      </c>
      <c r="J180" s="19">
        <f t="shared" si="37"/>
        <v>0</v>
      </c>
    </row>
    <row r="181" spans="2:10" x14ac:dyDescent="0.4">
      <c r="B181" s="6" t="s">
        <v>372</v>
      </c>
      <c r="C181" s="20" t="s">
        <v>373</v>
      </c>
      <c r="D181" s="17">
        <f>VLOOKUP(B181,BS!$A:$S,18,FALSE)-VLOOKUP(B181,BS!$A:$S,$C$1+5,FALSE)-VLOOKUP(B181,BS!$A:$S,$C$1+4,FALSE)</f>
        <v>1361356.62</v>
      </c>
      <c r="E181" s="17">
        <f>VLOOKUP(B181,BS!$A:$S,18,FALSE)-VLOOKUP(B181,BS!$A:$S,$C$1+5,FALSE)</f>
        <v>1361356.62</v>
      </c>
      <c r="F181" s="17">
        <f>VLOOKUP(B181,BS!$A:$S,18,FALSE)</f>
        <v>1361356.62</v>
      </c>
      <c r="G181" s="18">
        <f t="shared" si="34"/>
        <v>0</v>
      </c>
      <c r="H181" s="19">
        <f t="shared" si="35"/>
        <v>0</v>
      </c>
      <c r="I181" s="18">
        <f t="shared" si="36"/>
        <v>0</v>
      </c>
      <c r="J181" s="19">
        <f t="shared" si="37"/>
        <v>0</v>
      </c>
    </row>
    <row r="182" spans="2:10" x14ac:dyDescent="0.4">
      <c r="B182" s="15" t="s">
        <v>374</v>
      </c>
      <c r="C182" s="16" t="s">
        <v>375</v>
      </c>
      <c r="D182" s="17">
        <f>VLOOKUP(B182,BS!$A:$S,18,FALSE)-VLOOKUP(B182,BS!$A:$S,$C$1+5,FALSE)-VLOOKUP(B182,BS!$A:$S,$C$1+4,FALSE)</f>
        <v>0</v>
      </c>
      <c r="E182" s="17">
        <f>VLOOKUP(B182,BS!$A:$S,18,FALSE)-VLOOKUP(B182,BS!$A:$S,$C$1+5,FALSE)</f>
        <v>0</v>
      </c>
      <c r="F182" s="17">
        <f>VLOOKUP(B182,BS!$A:$S,18,FALSE)</f>
        <v>0</v>
      </c>
      <c r="G182" s="18">
        <f t="shared" si="34"/>
        <v>0</v>
      </c>
      <c r="H182" s="19">
        <f t="shared" si="35"/>
        <v>0</v>
      </c>
      <c r="I182" s="18">
        <f t="shared" si="36"/>
        <v>0</v>
      </c>
      <c r="J182" s="19">
        <f t="shared" si="37"/>
        <v>0</v>
      </c>
    </row>
    <row r="183" spans="2:10" x14ac:dyDescent="0.4">
      <c r="B183" s="6" t="s">
        <v>376</v>
      </c>
      <c r="C183" s="20" t="s">
        <v>377</v>
      </c>
      <c r="D183" s="17">
        <f>VLOOKUP(B183,BS!$A:$S,18,FALSE)-VLOOKUP(B183,BS!$A:$S,$C$1+5,FALSE)-VLOOKUP(B183,BS!$A:$S,$C$1+4,FALSE)</f>
        <v>0</v>
      </c>
      <c r="E183" s="17">
        <f>VLOOKUP(B183,BS!$A:$S,18,FALSE)-VLOOKUP(B183,BS!$A:$S,$C$1+5,FALSE)</f>
        <v>0</v>
      </c>
      <c r="F183" s="17">
        <f>VLOOKUP(B183,BS!$A:$S,18,FALSE)</f>
        <v>0</v>
      </c>
      <c r="G183" s="18">
        <f t="shared" si="34"/>
        <v>0</v>
      </c>
      <c r="H183" s="19">
        <f t="shared" si="35"/>
        <v>0</v>
      </c>
      <c r="I183" s="18">
        <f t="shared" si="36"/>
        <v>0</v>
      </c>
      <c r="J183" s="19">
        <f t="shared" si="37"/>
        <v>0</v>
      </c>
    </row>
    <row r="184" spans="2:10" x14ac:dyDescent="0.4">
      <c r="B184" s="6" t="s">
        <v>378</v>
      </c>
      <c r="C184" s="20" t="s">
        <v>379</v>
      </c>
      <c r="D184" s="17">
        <f>VLOOKUP(B184,BS!$A:$S,18,FALSE)-VLOOKUP(B184,BS!$A:$S,$C$1+5,FALSE)-VLOOKUP(B184,BS!$A:$S,$C$1+4,FALSE)</f>
        <v>0</v>
      </c>
      <c r="E184" s="17">
        <f>VLOOKUP(B184,BS!$A:$S,18,FALSE)-VLOOKUP(B184,BS!$A:$S,$C$1+5,FALSE)</f>
        <v>0</v>
      </c>
      <c r="F184" s="17">
        <f>VLOOKUP(B184,BS!$A:$S,18,FALSE)</f>
        <v>0</v>
      </c>
      <c r="G184" s="18">
        <f t="shared" si="34"/>
        <v>0</v>
      </c>
      <c r="H184" s="19">
        <f t="shared" si="35"/>
        <v>0</v>
      </c>
      <c r="I184" s="18">
        <f t="shared" si="36"/>
        <v>0</v>
      </c>
      <c r="J184" s="19">
        <f t="shared" si="37"/>
        <v>0</v>
      </c>
    </row>
    <row r="185" spans="2:10" x14ac:dyDescent="0.4">
      <c r="B185" s="6" t="s">
        <v>380</v>
      </c>
      <c r="C185" s="20" t="s">
        <v>381</v>
      </c>
      <c r="D185" s="17">
        <f>VLOOKUP(B185,BS!$A:$S,18,FALSE)-VLOOKUP(B185,BS!$A:$S,$C$1+5,FALSE)-VLOOKUP(B185,BS!$A:$S,$C$1+4,FALSE)</f>
        <v>0</v>
      </c>
      <c r="E185" s="17">
        <f>VLOOKUP(B185,BS!$A:$S,18,FALSE)-VLOOKUP(B185,BS!$A:$S,$C$1+5,FALSE)</f>
        <v>0</v>
      </c>
      <c r="F185" s="17">
        <f>VLOOKUP(B185,BS!$A:$S,18,FALSE)</f>
        <v>0</v>
      </c>
      <c r="G185" s="18">
        <f t="shared" si="34"/>
        <v>0</v>
      </c>
      <c r="H185" s="19">
        <f t="shared" si="35"/>
        <v>0</v>
      </c>
      <c r="I185" s="18">
        <f t="shared" si="36"/>
        <v>0</v>
      </c>
      <c r="J185" s="19">
        <f t="shared" si="37"/>
        <v>0</v>
      </c>
    </row>
    <row r="186" spans="2:10" x14ac:dyDescent="0.4">
      <c r="B186" s="6" t="s">
        <v>382</v>
      </c>
      <c r="C186" s="20" t="s">
        <v>383</v>
      </c>
      <c r="D186" s="17">
        <f>VLOOKUP(B186,BS!$A:$S,18,FALSE)-VLOOKUP(B186,BS!$A:$S,$C$1+5,FALSE)-VLOOKUP(B186,BS!$A:$S,$C$1+4,FALSE)</f>
        <v>0</v>
      </c>
      <c r="E186" s="17">
        <f>VLOOKUP(B186,BS!$A:$S,18,FALSE)-VLOOKUP(B186,BS!$A:$S,$C$1+5,FALSE)</f>
        <v>0</v>
      </c>
      <c r="F186" s="17">
        <f>VLOOKUP(B186,BS!$A:$S,18,FALSE)</f>
        <v>0</v>
      </c>
      <c r="G186" s="18">
        <f t="shared" si="34"/>
        <v>0</v>
      </c>
      <c r="H186" s="19">
        <f t="shared" si="35"/>
        <v>0</v>
      </c>
      <c r="I186" s="18">
        <f t="shared" si="36"/>
        <v>0</v>
      </c>
      <c r="J186" s="19">
        <f t="shared" si="37"/>
        <v>0</v>
      </c>
    </row>
    <row r="187" spans="2:10" x14ac:dyDescent="0.4">
      <c r="B187" s="6" t="s">
        <v>384</v>
      </c>
      <c r="C187" s="20" t="s">
        <v>385</v>
      </c>
      <c r="D187" s="17">
        <f>VLOOKUP(B187,BS!$A:$S,18,FALSE)-VLOOKUP(B187,BS!$A:$S,$C$1+5,FALSE)-VLOOKUP(B187,BS!$A:$S,$C$1+4,FALSE)</f>
        <v>0</v>
      </c>
      <c r="E187" s="17">
        <f>VLOOKUP(B187,BS!$A:$S,18,FALSE)-VLOOKUP(B187,BS!$A:$S,$C$1+5,FALSE)</f>
        <v>0</v>
      </c>
      <c r="F187" s="17">
        <f>VLOOKUP(B187,BS!$A:$S,18,FALSE)</f>
        <v>0</v>
      </c>
      <c r="G187" s="18">
        <f t="shared" si="34"/>
        <v>0</v>
      </c>
      <c r="H187" s="19">
        <f t="shared" si="35"/>
        <v>0</v>
      </c>
      <c r="I187" s="18">
        <f t="shared" si="36"/>
        <v>0</v>
      </c>
      <c r="J187" s="19">
        <f t="shared" si="37"/>
        <v>0</v>
      </c>
    </row>
    <row r="188" spans="2:10" x14ac:dyDescent="0.4">
      <c r="B188" s="15" t="s">
        <v>386</v>
      </c>
      <c r="C188" s="16" t="s">
        <v>387</v>
      </c>
      <c r="D188" s="17">
        <f>VLOOKUP(B188,BS!$A:$S,18,FALSE)-VLOOKUP(B188,BS!$A:$S,$C$1+5,FALSE)-VLOOKUP(B188,BS!$A:$S,$C$1+4,FALSE)</f>
        <v>-7684949784.6199999</v>
      </c>
      <c r="E188" s="17">
        <f>VLOOKUP(B188,BS!$A:$S,18,FALSE)-VLOOKUP(B188,BS!$A:$S,$C$1+5,FALSE)</f>
        <v>-7396856737.1700001</v>
      </c>
      <c r="F188" s="17">
        <f>VLOOKUP(B188,BS!$A:$S,18,FALSE)</f>
        <v>-7987962331.4799995</v>
      </c>
      <c r="G188" s="18">
        <f t="shared" si="34"/>
        <v>288093047.44999981</v>
      </c>
      <c r="H188" s="19">
        <f t="shared" si="35"/>
        <v>-3.7487954446568349E-2</v>
      </c>
      <c r="I188" s="18">
        <f t="shared" si="36"/>
        <v>-591105594.30999947</v>
      </c>
      <c r="J188" s="19">
        <f t="shared" si="37"/>
        <v>7.9913078664837503E-2</v>
      </c>
    </row>
    <row r="189" spans="2:10" x14ac:dyDescent="0.4">
      <c r="B189" s="6" t="s">
        <v>388</v>
      </c>
      <c r="C189" s="20" t="s">
        <v>389</v>
      </c>
      <c r="D189" s="17">
        <f>VLOOKUP(B189,BS!$A:$S,18,FALSE)-VLOOKUP(B189,BS!$A:$S,$C$1+5,FALSE)-VLOOKUP(B189,BS!$A:$S,$C$1+4,FALSE)</f>
        <v>0</v>
      </c>
      <c r="E189" s="17">
        <f>VLOOKUP(B189,BS!$A:$S,18,FALSE)-VLOOKUP(B189,BS!$A:$S,$C$1+5,FALSE)</f>
        <v>0</v>
      </c>
      <c r="F189" s="17">
        <f>VLOOKUP(B189,BS!$A:$S,18,FALSE)</f>
        <v>0</v>
      </c>
      <c r="G189" s="18">
        <f t="shared" si="34"/>
        <v>0</v>
      </c>
      <c r="H189" s="19">
        <f t="shared" si="35"/>
        <v>0</v>
      </c>
      <c r="I189" s="18">
        <f t="shared" si="36"/>
        <v>0</v>
      </c>
      <c r="J189" s="19">
        <f t="shared" si="37"/>
        <v>0</v>
      </c>
    </row>
    <row r="190" spans="2:10" x14ac:dyDescent="0.4">
      <c r="B190" s="6" t="s">
        <v>390</v>
      </c>
      <c r="C190" s="20" t="s">
        <v>391</v>
      </c>
      <c r="D190" s="17">
        <f>VLOOKUP(B190,BS!$A:$S,18,FALSE)-VLOOKUP(B190,BS!$A:$S,$C$1+5,FALSE)-VLOOKUP(B190,BS!$A:$S,$C$1+4,FALSE)</f>
        <v>0</v>
      </c>
      <c r="E190" s="17">
        <f>VLOOKUP(B190,BS!$A:$S,18,FALSE)-VLOOKUP(B190,BS!$A:$S,$C$1+5,FALSE)</f>
        <v>0</v>
      </c>
      <c r="F190" s="17">
        <f>VLOOKUP(B190,BS!$A:$S,18,FALSE)</f>
        <v>0</v>
      </c>
      <c r="G190" s="18">
        <f t="shared" si="34"/>
        <v>0</v>
      </c>
      <c r="H190" s="19">
        <f t="shared" si="35"/>
        <v>0</v>
      </c>
      <c r="I190" s="18">
        <f t="shared" si="36"/>
        <v>0</v>
      </c>
      <c r="J190" s="19">
        <f t="shared" si="37"/>
        <v>0</v>
      </c>
    </row>
    <row r="191" spans="2:10" x14ac:dyDescent="0.4">
      <c r="B191" s="6" t="s">
        <v>392</v>
      </c>
      <c r="C191" s="20" t="s">
        <v>393</v>
      </c>
      <c r="D191" s="17">
        <f>VLOOKUP(B191,BS!$A:$S,18,FALSE)-VLOOKUP(B191,BS!$A:$S,$C$1+5,FALSE)-VLOOKUP(B191,BS!$A:$S,$C$1+4,FALSE)</f>
        <v>0</v>
      </c>
      <c r="E191" s="17">
        <f>VLOOKUP(B191,BS!$A:$S,18,FALSE)-VLOOKUP(B191,BS!$A:$S,$C$1+5,FALSE)</f>
        <v>0</v>
      </c>
      <c r="F191" s="17">
        <f>VLOOKUP(B191,BS!$A:$S,18,FALSE)</f>
        <v>0</v>
      </c>
      <c r="G191" s="18">
        <f t="shared" si="34"/>
        <v>0</v>
      </c>
      <c r="H191" s="19">
        <f t="shared" si="35"/>
        <v>0</v>
      </c>
      <c r="I191" s="18">
        <f t="shared" si="36"/>
        <v>0</v>
      </c>
      <c r="J191" s="19">
        <f t="shared" si="37"/>
        <v>0</v>
      </c>
    </row>
    <row r="192" spans="2:10" x14ac:dyDescent="0.4">
      <c r="B192" s="6" t="s">
        <v>394</v>
      </c>
      <c r="C192" s="20" t="s">
        <v>395</v>
      </c>
      <c r="D192" s="17">
        <f>VLOOKUP(B192,BS!$A:$S,18,FALSE)-VLOOKUP(B192,BS!$A:$S,$C$1+5,FALSE)-VLOOKUP(B192,BS!$A:$S,$C$1+4,FALSE)</f>
        <v>0</v>
      </c>
      <c r="E192" s="17">
        <f>VLOOKUP(B192,BS!$A:$S,18,FALSE)-VLOOKUP(B192,BS!$A:$S,$C$1+5,FALSE)</f>
        <v>0</v>
      </c>
      <c r="F192" s="17">
        <f>VLOOKUP(B192,BS!$A:$S,18,FALSE)</f>
        <v>0</v>
      </c>
      <c r="G192" s="18">
        <f t="shared" si="34"/>
        <v>0</v>
      </c>
      <c r="H192" s="19">
        <f t="shared" si="35"/>
        <v>0</v>
      </c>
      <c r="I192" s="18">
        <f t="shared" si="36"/>
        <v>0</v>
      </c>
      <c r="J192" s="19">
        <f t="shared" si="37"/>
        <v>0</v>
      </c>
    </row>
    <row r="193" spans="2:10" x14ac:dyDescent="0.4">
      <c r="B193" s="6" t="s">
        <v>396</v>
      </c>
      <c r="C193" s="20" t="s">
        <v>397</v>
      </c>
      <c r="D193" s="17">
        <f>VLOOKUP(B193,BS!$A:$S,18,FALSE)-VLOOKUP(B193,BS!$A:$S,$C$1+5,FALSE)-VLOOKUP(B193,BS!$A:$S,$C$1+4,FALSE)</f>
        <v>0</v>
      </c>
      <c r="E193" s="17">
        <f>VLOOKUP(B193,BS!$A:$S,18,FALSE)-VLOOKUP(B193,BS!$A:$S,$C$1+5,FALSE)</f>
        <v>0</v>
      </c>
      <c r="F193" s="17">
        <f>VLOOKUP(B193,BS!$A:$S,18,FALSE)</f>
        <v>0</v>
      </c>
      <c r="G193" s="18">
        <f t="shared" si="34"/>
        <v>0</v>
      </c>
      <c r="H193" s="19">
        <f t="shared" si="35"/>
        <v>0</v>
      </c>
      <c r="I193" s="18">
        <f t="shared" si="36"/>
        <v>0</v>
      </c>
      <c r="J193" s="19">
        <f t="shared" si="37"/>
        <v>0</v>
      </c>
    </row>
    <row r="194" spans="2:10" x14ac:dyDescent="0.4">
      <c r="B194" s="6" t="s">
        <v>398</v>
      </c>
      <c r="C194" s="20" t="s">
        <v>399</v>
      </c>
      <c r="D194" s="17">
        <f>VLOOKUP(B194,BS!$A:$S,18,FALSE)-VLOOKUP(B194,BS!$A:$S,$C$1+5,FALSE)-VLOOKUP(B194,BS!$A:$S,$C$1+4,FALSE)</f>
        <v>-7032954586.2200003</v>
      </c>
      <c r="E194" s="17">
        <f>VLOOKUP(B194,BS!$A:$S,18,FALSE)-VLOOKUP(B194,BS!$A:$S,$C$1+5,FALSE)</f>
        <v>-7032954586.2200003</v>
      </c>
      <c r="F194" s="17">
        <f>VLOOKUP(B194,BS!$A:$S,18,FALSE)</f>
        <v>-7032954586.2200003</v>
      </c>
      <c r="G194" s="18">
        <f t="shared" si="34"/>
        <v>0</v>
      </c>
      <c r="H194" s="19">
        <f t="shared" si="35"/>
        <v>0</v>
      </c>
      <c r="I194" s="18">
        <f t="shared" si="36"/>
        <v>0</v>
      </c>
      <c r="J194" s="19">
        <f t="shared" si="37"/>
        <v>0</v>
      </c>
    </row>
    <row r="195" spans="2:10" x14ac:dyDescent="0.4">
      <c r="B195" s="6" t="s">
        <v>400</v>
      </c>
      <c r="C195" s="20" t="s">
        <v>401</v>
      </c>
      <c r="D195" s="17">
        <f>VLOOKUP(B195,BS!$A:$S,18,FALSE)-VLOOKUP(B195,BS!$A:$S,$C$1+5,FALSE)-VLOOKUP(B195,BS!$A:$S,$C$1+4,FALSE)</f>
        <v>-651995198.4000001</v>
      </c>
      <c r="E195" s="17">
        <f>VLOOKUP(B195,BS!$A:$S,18,FALSE)-VLOOKUP(B195,BS!$A:$S,$C$1+5,FALSE)</f>
        <v>-363902150.95000005</v>
      </c>
      <c r="F195" s="17">
        <f>VLOOKUP(B195,BS!$A:$S,18,FALSE)</f>
        <v>-955007745.25999999</v>
      </c>
      <c r="G195" s="18">
        <f t="shared" si="34"/>
        <v>288093047.45000005</v>
      </c>
      <c r="H195" s="19">
        <f t="shared" si="35"/>
        <v>-0.44186375629296354</v>
      </c>
      <c r="I195" s="18">
        <f t="shared" si="36"/>
        <v>-591105594.30999994</v>
      </c>
      <c r="J195" s="19">
        <f t="shared" si="37"/>
        <v>1.6243531201089754</v>
      </c>
    </row>
    <row r="196" spans="2:10" x14ac:dyDescent="0.4">
      <c r="B196" s="15" t="s">
        <v>402</v>
      </c>
      <c r="C196" s="16" t="s">
        <v>403</v>
      </c>
      <c r="D196" s="17">
        <f>VLOOKUP(B196,BS!$A:$S,18,FALSE)-VLOOKUP(B196,BS!$A:$S,$C$1+5,FALSE)-VLOOKUP(B196,BS!$A:$S,$C$1+4,FALSE)</f>
        <v>0</v>
      </c>
      <c r="E196" s="17">
        <f>VLOOKUP(B196,BS!$A:$S,18,FALSE)-VLOOKUP(B196,BS!$A:$S,$C$1+5,FALSE)</f>
        <v>0</v>
      </c>
      <c r="F196" s="17">
        <f>VLOOKUP(B196,BS!$A:$S,18,FALSE)</f>
        <v>0</v>
      </c>
      <c r="G196" s="18">
        <f t="shared" si="34"/>
        <v>0</v>
      </c>
      <c r="H196" s="19">
        <f t="shared" si="35"/>
        <v>0</v>
      </c>
      <c r="I196" s="18">
        <f t="shared" si="36"/>
        <v>0</v>
      </c>
      <c r="J196" s="19">
        <f t="shared" si="37"/>
        <v>0</v>
      </c>
    </row>
    <row r="197" spans="2:10" x14ac:dyDescent="0.4">
      <c r="B197" s="6" t="s">
        <v>404</v>
      </c>
      <c r="C197" s="20" t="s">
        <v>405</v>
      </c>
      <c r="D197" s="17">
        <f>VLOOKUP(B197,BS!$A:$S,18,FALSE)-VLOOKUP(B197,BS!$A:$S,$C$1+5,FALSE)-VLOOKUP(B197,BS!$A:$S,$C$1+4,FALSE)</f>
        <v>0</v>
      </c>
      <c r="E197" s="17">
        <f>VLOOKUP(B197,BS!$A:$S,18,FALSE)-VLOOKUP(B197,BS!$A:$S,$C$1+5,FALSE)</f>
        <v>0</v>
      </c>
      <c r="F197" s="17">
        <f>VLOOKUP(B197,BS!$A:$S,18,FALSE)</f>
        <v>0</v>
      </c>
      <c r="G197" s="18">
        <f t="shared" ref="G197:G205" si="46">E197-D197</f>
        <v>0</v>
      </c>
      <c r="H197" s="19">
        <f t="shared" ref="H197:H205" si="47">IFERROR(G197/D197,0)</f>
        <v>0</v>
      </c>
      <c r="I197" s="18">
        <f t="shared" ref="I197:I205" si="48">F197-E197</f>
        <v>0</v>
      </c>
      <c r="J197" s="19">
        <f t="shared" ref="J197:J205" si="49">IFERROR(I197/E197,0)</f>
        <v>0</v>
      </c>
    </row>
    <row r="198" spans="2:10" x14ac:dyDescent="0.4">
      <c r="B198" s="6" t="s">
        <v>406</v>
      </c>
      <c r="C198" s="20" t="s">
        <v>407</v>
      </c>
      <c r="D198" s="17">
        <f>VLOOKUP(B198,BS!$A:$S,18,FALSE)-VLOOKUP(B198,BS!$A:$S,$C$1+5,FALSE)-VLOOKUP(B198,BS!$A:$S,$C$1+4,FALSE)</f>
        <v>0</v>
      </c>
      <c r="E198" s="17">
        <f>VLOOKUP(B198,BS!$A:$S,18,FALSE)-VLOOKUP(B198,BS!$A:$S,$C$1+5,FALSE)</f>
        <v>0</v>
      </c>
      <c r="F198" s="17">
        <f>VLOOKUP(B198,BS!$A:$S,18,FALSE)</f>
        <v>0</v>
      </c>
      <c r="G198" s="18">
        <f t="shared" si="46"/>
        <v>0</v>
      </c>
      <c r="H198" s="19">
        <f t="shared" si="47"/>
        <v>0</v>
      </c>
      <c r="I198" s="18">
        <f t="shared" si="48"/>
        <v>0</v>
      </c>
      <c r="J198" s="19">
        <f t="shared" si="49"/>
        <v>0</v>
      </c>
    </row>
    <row r="199" spans="2:10" x14ac:dyDescent="0.4">
      <c r="B199" s="6" t="s">
        <v>408</v>
      </c>
      <c r="C199" s="20" t="s">
        <v>409</v>
      </c>
      <c r="D199" s="17">
        <f>VLOOKUP(B199,BS!$A:$S,18,FALSE)-VLOOKUP(B199,BS!$A:$S,$C$1+5,FALSE)-VLOOKUP(B199,BS!$A:$S,$C$1+4,FALSE)</f>
        <v>0</v>
      </c>
      <c r="E199" s="17">
        <f>VLOOKUP(B199,BS!$A:$S,18,FALSE)-VLOOKUP(B199,BS!$A:$S,$C$1+5,FALSE)</f>
        <v>0</v>
      </c>
      <c r="F199" s="17">
        <f>VLOOKUP(B199,BS!$A:$S,18,FALSE)</f>
        <v>0</v>
      </c>
      <c r="G199" s="18">
        <f t="shared" si="46"/>
        <v>0</v>
      </c>
      <c r="H199" s="19">
        <f t="shared" si="47"/>
        <v>0</v>
      </c>
      <c r="I199" s="18">
        <f t="shared" si="48"/>
        <v>0</v>
      </c>
      <c r="J199" s="19">
        <f t="shared" si="49"/>
        <v>0</v>
      </c>
    </row>
    <row r="200" spans="2:10" x14ac:dyDescent="0.4">
      <c r="B200" s="6" t="s">
        <v>410</v>
      </c>
      <c r="C200" s="20" t="s">
        <v>411</v>
      </c>
      <c r="D200" s="17">
        <f>VLOOKUP(B200,BS!$A:$S,18,FALSE)-VLOOKUP(B200,BS!$A:$S,$C$1+5,FALSE)-VLOOKUP(B200,BS!$A:$S,$C$1+4,FALSE)</f>
        <v>0</v>
      </c>
      <c r="E200" s="17">
        <f>VLOOKUP(B200,BS!$A:$S,18,FALSE)-VLOOKUP(B200,BS!$A:$S,$C$1+5,FALSE)</f>
        <v>0</v>
      </c>
      <c r="F200" s="17">
        <f>VLOOKUP(B200,BS!$A:$S,18,FALSE)</f>
        <v>0</v>
      </c>
      <c r="G200" s="18">
        <f t="shared" si="46"/>
        <v>0</v>
      </c>
      <c r="H200" s="19">
        <f t="shared" si="47"/>
        <v>0</v>
      </c>
      <c r="I200" s="18">
        <f t="shared" si="48"/>
        <v>0</v>
      </c>
      <c r="J200" s="19">
        <f t="shared" si="49"/>
        <v>0</v>
      </c>
    </row>
    <row r="201" spans="2:10" x14ac:dyDescent="0.4">
      <c r="B201" s="6" t="s">
        <v>412</v>
      </c>
      <c r="C201" s="20" t="s">
        <v>413</v>
      </c>
      <c r="D201" s="17">
        <f>VLOOKUP(B201,BS!$A:$S,18,FALSE)-VLOOKUP(B201,BS!$A:$S,$C$1+5,FALSE)-VLOOKUP(B201,BS!$A:$S,$C$1+4,FALSE)</f>
        <v>0</v>
      </c>
      <c r="E201" s="17">
        <f>VLOOKUP(B201,BS!$A:$S,18,FALSE)-VLOOKUP(B201,BS!$A:$S,$C$1+5,FALSE)</f>
        <v>0</v>
      </c>
      <c r="F201" s="17">
        <f>VLOOKUP(B201,BS!$A:$S,18,FALSE)</f>
        <v>0</v>
      </c>
      <c r="G201" s="18">
        <f t="shared" si="46"/>
        <v>0</v>
      </c>
      <c r="H201" s="19">
        <f t="shared" si="47"/>
        <v>0</v>
      </c>
      <c r="I201" s="18">
        <f t="shared" si="48"/>
        <v>0</v>
      </c>
      <c r="J201" s="19">
        <f t="shared" si="49"/>
        <v>0</v>
      </c>
    </row>
    <row r="202" spans="2:10" x14ac:dyDescent="0.4">
      <c r="B202" s="6" t="s">
        <v>414</v>
      </c>
      <c r="C202" s="20" t="s">
        <v>415</v>
      </c>
      <c r="D202" s="17">
        <f>VLOOKUP(B202,BS!$A:$S,18,FALSE)-VLOOKUP(B202,BS!$A:$S,$C$1+5,FALSE)-VLOOKUP(B202,BS!$A:$S,$C$1+4,FALSE)</f>
        <v>0</v>
      </c>
      <c r="E202" s="17">
        <f>VLOOKUP(B202,BS!$A:$S,18,FALSE)-VLOOKUP(B202,BS!$A:$S,$C$1+5,FALSE)</f>
        <v>0</v>
      </c>
      <c r="F202" s="17">
        <f>VLOOKUP(B202,BS!$A:$S,18,FALSE)</f>
        <v>0</v>
      </c>
      <c r="G202" s="18">
        <f t="shared" si="46"/>
        <v>0</v>
      </c>
      <c r="H202" s="19">
        <f t="shared" si="47"/>
        <v>0</v>
      </c>
      <c r="I202" s="18">
        <f t="shared" si="48"/>
        <v>0</v>
      </c>
      <c r="J202" s="19">
        <f t="shared" si="49"/>
        <v>0</v>
      </c>
    </row>
    <row r="203" spans="2:10" x14ac:dyDescent="0.4">
      <c r="B203" s="6" t="s">
        <v>416</v>
      </c>
      <c r="C203" s="20" t="s">
        <v>417</v>
      </c>
      <c r="D203" s="17">
        <f>VLOOKUP(B203,BS!$A:$S,18,FALSE)-VLOOKUP(B203,BS!$A:$S,$C$1+5,FALSE)-VLOOKUP(B203,BS!$A:$S,$C$1+4,FALSE)</f>
        <v>0</v>
      </c>
      <c r="E203" s="17">
        <f>VLOOKUP(B203,BS!$A:$S,18,FALSE)-VLOOKUP(B203,BS!$A:$S,$C$1+5,FALSE)</f>
        <v>0</v>
      </c>
      <c r="F203" s="17">
        <f>VLOOKUP(B203,BS!$A:$S,18,FALSE)</f>
        <v>0</v>
      </c>
      <c r="G203" s="18">
        <f t="shared" si="46"/>
        <v>0</v>
      </c>
      <c r="H203" s="19">
        <f t="shared" si="47"/>
        <v>0</v>
      </c>
      <c r="I203" s="18">
        <f t="shared" si="48"/>
        <v>0</v>
      </c>
      <c r="J203" s="19">
        <f t="shared" si="49"/>
        <v>0</v>
      </c>
    </row>
    <row r="204" spans="2:10" x14ac:dyDescent="0.4">
      <c r="B204" s="6" t="s">
        <v>418</v>
      </c>
      <c r="C204" s="20" t="s">
        <v>403</v>
      </c>
      <c r="D204" s="17">
        <f>VLOOKUP(B204,BS!$A:$S,18,FALSE)-VLOOKUP(B204,BS!$A:$S,$C$1+5,FALSE)-VLOOKUP(B204,BS!$A:$S,$C$1+4,FALSE)</f>
        <v>0</v>
      </c>
      <c r="E204" s="17">
        <f>VLOOKUP(B204,BS!$A:$S,18,FALSE)-VLOOKUP(B204,BS!$A:$S,$C$1+5,FALSE)</f>
        <v>0</v>
      </c>
      <c r="F204" s="17">
        <f>VLOOKUP(B204,BS!$A:$S,18,FALSE)</f>
        <v>0</v>
      </c>
      <c r="G204" s="18">
        <f t="shared" si="46"/>
        <v>0</v>
      </c>
      <c r="H204" s="19">
        <f t="shared" si="47"/>
        <v>0</v>
      </c>
      <c r="I204" s="18">
        <f t="shared" si="48"/>
        <v>0</v>
      </c>
      <c r="J204" s="19">
        <f t="shared" si="49"/>
        <v>0</v>
      </c>
    </row>
    <row r="205" spans="2:10" x14ac:dyDescent="0.4">
      <c r="B205" s="15" t="s">
        <v>419</v>
      </c>
      <c r="C205" s="25" t="s">
        <v>420</v>
      </c>
      <c r="D205" s="22">
        <f>VLOOKUP(B205,BS!$A:$S,18,FALSE)-VLOOKUP(B205,BS!$A:$S,$C$1+5,FALSE)-VLOOKUP(B205,BS!$A:$S,$C$1+4,FALSE)</f>
        <v>61520348941.169998</v>
      </c>
      <c r="E205" s="22">
        <f>VLOOKUP(B205,BS!$A:$S,18,FALSE)-VLOOKUP(B205,BS!$A:$S,$C$1+5,FALSE)</f>
        <v>61057231338.580002</v>
      </c>
      <c r="F205" s="22">
        <f>VLOOKUP(B205,BS!$A:$S,18,FALSE)</f>
        <v>62937246474.709999</v>
      </c>
      <c r="G205" s="23">
        <f t="shared" si="46"/>
        <v>-463117602.58999634</v>
      </c>
      <c r="H205" s="24">
        <f t="shared" si="47"/>
        <v>-7.5278767198290984E-3</v>
      </c>
      <c r="I205" s="23">
        <f t="shared" si="48"/>
        <v>1880015136.1299973</v>
      </c>
      <c r="J205" s="24">
        <f t="shared" si="49"/>
        <v>3.0791031543909511E-2</v>
      </c>
    </row>
  </sheetData>
  <autoFilter ref="C3:T205" xr:uid="{F0124AAA-D112-44A4-866F-85B4211F62CA}"/>
  <mergeCells count="10">
    <mergeCell ref="V5:X5"/>
    <mergeCell ref="V9:X9"/>
    <mergeCell ref="V13:X13"/>
    <mergeCell ref="V23:X23"/>
    <mergeCell ref="V18:X18"/>
    <mergeCell ref="G2:H2"/>
    <mergeCell ref="I2:J2"/>
    <mergeCell ref="Q2:R2"/>
    <mergeCell ref="S2:T2"/>
    <mergeCell ref="V1:X1"/>
  </mergeCells>
  <phoneticPr fontId="3" type="noConversion"/>
  <conditionalFormatting sqref="H4:H205">
    <cfRule type="cellIs" dxfId="7" priority="7" operator="greaterThan">
      <formula>0.09</formula>
    </cfRule>
    <cfRule type="cellIs" dxfId="6" priority="8" operator="lessThan">
      <formula>-0.09</formula>
    </cfRule>
    <cfRule type="cellIs" dxfId="5" priority="9" operator="lessThan">
      <formula>-0.1</formula>
    </cfRule>
    <cfRule type="cellIs" dxfId="4" priority="10" operator="greaterThan">
      <formula>0.1</formula>
    </cfRule>
  </conditionalFormatting>
  <conditionalFormatting sqref="R4:R149 T4:T149 J4:J205">
    <cfRule type="cellIs" dxfId="3" priority="5" operator="lessThan">
      <formula>-0.09</formula>
    </cfRule>
    <cfRule type="cellIs" dxfId="2" priority="6" operator="greaterThan">
      <formula>0.09</formula>
    </cfRule>
  </conditionalFormatting>
  <dataValidations count="1">
    <dataValidation type="textLength" allowBlank="1" showInputMessage="1" showErrorMessage="1" error="The number of entered characters exceeds the maximum number of allowed characters." sqref="D1:D2 N1:N2 D4:D1048576 C1 B2:C1048576 N4:N1048576 L1:M1048576" xr:uid="{E4707317-9B0A-49A0-8A40-69BF6890B98D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27786-B286-4F79-90C6-FA6866947739}">
  <dimension ref="B1:Q205"/>
  <sheetViews>
    <sheetView zoomScale="85" zoomScaleNormal="85" workbookViewId="0">
      <pane xSplit="2" ySplit="3" topLeftCell="C58" activePane="bottomRight" state="frozen"/>
      <selection pane="topRight" activeCell="C1" sqref="C1"/>
      <selection pane="bottomLeft" activeCell="A4" sqref="A4"/>
      <selection pane="bottomRight" activeCell="L23" sqref="L23"/>
    </sheetView>
  </sheetViews>
  <sheetFormatPr defaultRowHeight="17.399999999999999" x14ac:dyDescent="0.4"/>
  <cols>
    <col min="1" max="1" width="4" style="9" customWidth="1"/>
    <col min="2" max="2" width="14" style="6" hidden="1" customWidth="1"/>
    <col min="3" max="3" width="18.69921875" style="8" customWidth="1"/>
    <col min="4" max="6" width="18.69921875" style="9" customWidth="1"/>
    <col min="7" max="7" width="8.8984375" style="10" bestFit="1" customWidth="1"/>
    <col min="8" max="8" width="10.8984375" style="9" bestFit="1" customWidth="1"/>
    <col min="9" max="9" width="14" style="6" hidden="1" customWidth="1"/>
    <col min="10" max="10" width="18.69921875" style="8" customWidth="1"/>
    <col min="11" max="12" width="18.296875" style="9" customWidth="1"/>
    <col min="13" max="13" width="16.296875" style="9" customWidth="1"/>
    <col min="14" max="14" width="8.796875" style="9"/>
    <col min="15" max="17" width="13.5" style="9" bestFit="1" customWidth="1"/>
    <col min="18" max="16384" width="8.796875" style="9"/>
  </cols>
  <sheetData>
    <row r="1" spans="2:17" x14ac:dyDescent="0.4">
      <c r="C1" s="9"/>
      <c r="P1" s="46" t="s">
        <v>713</v>
      </c>
      <c r="Q1" s="47"/>
    </row>
    <row r="2" spans="2:17" x14ac:dyDescent="0.4">
      <c r="F2" s="45" t="s">
        <v>730</v>
      </c>
      <c r="G2" s="45"/>
      <c r="M2" s="45" t="s">
        <v>730</v>
      </c>
      <c r="N2" s="45"/>
      <c r="P2" s="26" t="s">
        <v>731</v>
      </c>
      <c r="Q2" s="26" t="s">
        <v>732</v>
      </c>
    </row>
    <row r="3" spans="2:17" x14ac:dyDescent="0.4">
      <c r="B3" s="11" t="s">
        <v>0</v>
      </c>
      <c r="C3" s="12" t="s">
        <v>1</v>
      </c>
      <c r="D3" s="33" t="s">
        <v>728</v>
      </c>
      <c r="E3" s="33" t="s">
        <v>729</v>
      </c>
      <c r="F3" s="33" t="s">
        <v>708</v>
      </c>
      <c r="G3" s="34" t="s">
        <v>710</v>
      </c>
      <c r="I3" s="11" t="s">
        <v>0</v>
      </c>
      <c r="J3" s="12" t="s">
        <v>1</v>
      </c>
      <c r="K3" s="33" t="s">
        <v>728</v>
      </c>
      <c r="L3" s="33" t="s">
        <v>729</v>
      </c>
      <c r="M3" s="33" t="s">
        <v>708</v>
      </c>
      <c r="N3" s="13" t="s">
        <v>710</v>
      </c>
      <c r="P3" s="27">
        <f>K21/K4</f>
        <v>0.70375157802906918</v>
      </c>
      <c r="Q3" s="27">
        <f>L21/L4</f>
        <v>0.67529563111812019</v>
      </c>
    </row>
    <row r="4" spans="2:17" x14ac:dyDescent="0.4">
      <c r="B4" s="15" t="s">
        <v>20</v>
      </c>
      <c r="C4" s="16" t="s">
        <v>21</v>
      </c>
      <c r="D4" s="17">
        <f>VLOOKUP(B4,BS!$A:$S,5,FALSE)</f>
        <v>63023901999.5</v>
      </c>
      <c r="E4" s="17">
        <f>VLOOKUP(B4,BS!$A:$S,18,FALSE)</f>
        <v>62937246474.709999</v>
      </c>
      <c r="F4" s="18">
        <f t="shared" ref="F4:F67" si="0">E4-D4</f>
        <v>-86655524.790000916</v>
      </c>
      <c r="G4" s="19">
        <f t="shared" ref="G4:G67" si="1">IFERROR(F4/D4,0)</f>
        <v>-1.3749628639414995E-3</v>
      </c>
      <c r="I4" s="15" t="s">
        <v>422</v>
      </c>
      <c r="J4" s="16" t="s">
        <v>423</v>
      </c>
      <c r="K4" s="17">
        <f>VLOOKUP(I4,PL!$A:$S,4,FALSE)</f>
        <v>13637841767.799999</v>
      </c>
      <c r="L4" s="17">
        <f>VLOOKUP(I4,PL!$A:$S,18,FALSE)</f>
        <v>16433681877.41</v>
      </c>
      <c r="M4" s="18">
        <f t="shared" ref="M4:M37" si="2">L4-K4</f>
        <v>2795840109.6100006</v>
      </c>
      <c r="N4" s="19">
        <f t="shared" ref="N4:N37" si="3">IFERROR(M4/K4,0)</f>
        <v>0.20500605280603826</v>
      </c>
    </row>
    <row r="5" spans="2:17" x14ac:dyDescent="0.4">
      <c r="B5" s="15" t="s">
        <v>22</v>
      </c>
      <c r="C5" s="16" t="s">
        <v>23</v>
      </c>
      <c r="D5" s="17">
        <f>VLOOKUP(B5,BS!$A:$S,5,FALSE)</f>
        <v>61589579959.879997</v>
      </c>
      <c r="E5" s="17">
        <f>VLOOKUP(B5,BS!$A:$S,18,FALSE)</f>
        <v>56989159991.589996</v>
      </c>
      <c r="F5" s="18">
        <f t="shared" si="0"/>
        <v>-4600419968.2900009</v>
      </c>
      <c r="G5" s="19">
        <f t="shared" si="1"/>
        <v>-7.4694777449152205E-2</v>
      </c>
      <c r="I5" s="15" t="s">
        <v>424</v>
      </c>
      <c r="J5" s="16" t="s">
        <v>425</v>
      </c>
      <c r="K5" s="17">
        <f>VLOOKUP(I5,PL!$A:$S,4,FALSE)</f>
        <v>13637841767.799999</v>
      </c>
      <c r="L5" s="17">
        <f>VLOOKUP(I5,PL!$A:$S,18,FALSE)</f>
        <v>16433681877.41</v>
      </c>
      <c r="M5" s="18">
        <f t="shared" si="2"/>
        <v>2795840109.6100006</v>
      </c>
      <c r="N5" s="19">
        <f t="shared" si="3"/>
        <v>0.20500605280603826</v>
      </c>
      <c r="P5" s="46" t="s">
        <v>714</v>
      </c>
      <c r="Q5" s="47"/>
    </row>
    <row r="6" spans="2:17" x14ac:dyDescent="0.4">
      <c r="B6" s="15" t="s">
        <v>24</v>
      </c>
      <c r="C6" s="16" t="s">
        <v>25</v>
      </c>
      <c r="D6" s="17">
        <f>VLOOKUP(B6,BS!$A:$S,5,FALSE)</f>
        <v>38553402678.349998</v>
      </c>
      <c r="E6" s="17">
        <f>VLOOKUP(B6,BS!$A:$S,18,FALSE)</f>
        <v>31998928277.52</v>
      </c>
      <c r="F6" s="18">
        <f t="shared" si="0"/>
        <v>-6554474400.829998</v>
      </c>
      <c r="G6" s="19">
        <f t="shared" si="1"/>
        <v>-0.17001027005356184</v>
      </c>
      <c r="I6" s="6" t="s">
        <v>426</v>
      </c>
      <c r="J6" s="20" t="s">
        <v>427</v>
      </c>
      <c r="K6" s="17">
        <f>VLOOKUP(I6,PL!$A:$S,4,FALSE)</f>
        <v>461471546.61000001</v>
      </c>
      <c r="L6" s="17">
        <f>VLOOKUP(I6,PL!$A:$S,18,FALSE)</f>
        <v>587910293.98000002</v>
      </c>
      <c r="M6" s="18">
        <f t="shared" si="2"/>
        <v>126438747.37</v>
      </c>
      <c r="N6" s="19">
        <f t="shared" si="3"/>
        <v>0.27399034306411146</v>
      </c>
      <c r="P6" s="26" t="s">
        <v>731</v>
      </c>
      <c r="Q6" s="26" t="s">
        <v>732</v>
      </c>
    </row>
    <row r="7" spans="2:17" x14ac:dyDescent="0.4">
      <c r="B7" s="6" t="s">
        <v>26</v>
      </c>
      <c r="C7" s="20" t="s">
        <v>27</v>
      </c>
      <c r="D7" s="17">
        <f>VLOOKUP(B7,BS!$A:$S,5,FALSE)</f>
        <v>8037982757.5699997</v>
      </c>
      <c r="E7" s="17">
        <f>VLOOKUP(B7,BS!$A:$S,18,FALSE)</f>
        <v>4584808451</v>
      </c>
      <c r="F7" s="18">
        <f t="shared" si="0"/>
        <v>-3453174306.5699997</v>
      </c>
      <c r="G7" s="19">
        <f t="shared" si="1"/>
        <v>-0.42960708062204717</v>
      </c>
      <c r="I7" s="6" t="s">
        <v>428</v>
      </c>
      <c r="J7" s="20" t="s">
        <v>429</v>
      </c>
      <c r="K7" s="17">
        <f>VLOOKUP(I7,PL!$A:$S,4,FALSE)</f>
        <v>12881449450.389999</v>
      </c>
      <c r="L7" s="17">
        <f>VLOOKUP(I7,PL!$A:$S,18,FALSE)</f>
        <v>15817132439.83</v>
      </c>
      <c r="M7" s="18">
        <f t="shared" si="2"/>
        <v>2935682989.4400005</v>
      </c>
      <c r="N7" s="19">
        <f t="shared" si="3"/>
        <v>0.2279000512128796</v>
      </c>
      <c r="P7" s="27">
        <f>D5/D114</f>
        <v>0.90175307980647568</v>
      </c>
      <c r="Q7" s="27">
        <f>E5/E114</f>
        <v>0.86247967577659501</v>
      </c>
    </row>
    <row r="8" spans="2:17" x14ac:dyDescent="0.4">
      <c r="B8" s="6" t="s">
        <v>28</v>
      </c>
      <c r="C8" s="20" t="s">
        <v>29</v>
      </c>
      <c r="D8" s="17">
        <f>VLOOKUP(B8,BS!$A:$S,5,FALSE)</f>
        <v>0</v>
      </c>
      <c r="E8" s="17">
        <f>VLOOKUP(B8,BS!$A:$S,18,FALSE)</f>
        <v>0</v>
      </c>
      <c r="F8" s="18">
        <f t="shared" si="0"/>
        <v>0</v>
      </c>
      <c r="G8" s="19">
        <f t="shared" si="1"/>
        <v>0</v>
      </c>
      <c r="I8" s="6" t="s">
        <v>430</v>
      </c>
      <c r="J8" s="20" t="s">
        <v>431</v>
      </c>
      <c r="K8" s="17">
        <f>VLOOKUP(I8,PL!$A:$S,4,FALSE)</f>
        <v>249385056.80000001</v>
      </c>
      <c r="L8" s="17">
        <f>VLOOKUP(I8,PL!$A:$S,18,FALSE)</f>
        <v>28532000.739999998</v>
      </c>
      <c r="M8" s="18">
        <f t="shared" si="2"/>
        <v>-220853056.06</v>
      </c>
      <c r="N8" s="19">
        <f t="shared" si="3"/>
        <v>-0.88559057585041312</v>
      </c>
    </row>
    <row r="9" spans="2:17" x14ac:dyDescent="0.4">
      <c r="B9" s="6" t="s">
        <v>30</v>
      </c>
      <c r="C9" s="20" t="s">
        <v>31</v>
      </c>
      <c r="D9" s="17">
        <f>VLOOKUP(B9,BS!$A:$S,5,FALSE)</f>
        <v>0</v>
      </c>
      <c r="E9" s="17">
        <f>VLOOKUP(B9,BS!$A:$S,18,FALSE)</f>
        <v>0</v>
      </c>
      <c r="F9" s="18">
        <f t="shared" si="0"/>
        <v>0</v>
      </c>
      <c r="G9" s="19">
        <f t="shared" si="1"/>
        <v>0</v>
      </c>
      <c r="I9" s="6" t="s">
        <v>432</v>
      </c>
      <c r="J9" s="20" t="s">
        <v>433</v>
      </c>
      <c r="K9" s="17">
        <f>VLOOKUP(I9,PL!$A:$S,4,FALSE)</f>
        <v>45535714</v>
      </c>
      <c r="L9" s="17">
        <f>VLOOKUP(I9,PL!$A:$S,18,FALSE)</f>
        <v>0</v>
      </c>
      <c r="M9" s="18">
        <f t="shared" si="2"/>
        <v>-45535714</v>
      </c>
      <c r="N9" s="19">
        <f t="shared" si="3"/>
        <v>-1</v>
      </c>
      <c r="P9" s="46" t="s">
        <v>715</v>
      </c>
      <c r="Q9" s="47"/>
    </row>
    <row r="10" spans="2:17" x14ac:dyDescent="0.4">
      <c r="B10" s="6" t="s">
        <v>32</v>
      </c>
      <c r="C10" s="20" t="s">
        <v>33</v>
      </c>
      <c r="D10" s="17">
        <f>VLOOKUP(B10,BS!$A:$S,5,FALSE)</f>
        <v>0</v>
      </c>
      <c r="E10" s="17">
        <f>VLOOKUP(B10,BS!$A:$S,18,FALSE)</f>
        <v>0</v>
      </c>
      <c r="F10" s="18">
        <f t="shared" si="0"/>
        <v>0</v>
      </c>
      <c r="G10" s="19">
        <f t="shared" si="1"/>
        <v>0</v>
      </c>
      <c r="I10" s="6" t="s">
        <v>434</v>
      </c>
      <c r="J10" s="20" t="s">
        <v>435</v>
      </c>
      <c r="K10" s="17">
        <f>VLOOKUP(I10,PL!$A:$S,4,FALSE)</f>
        <v>0</v>
      </c>
      <c r="L10" s="17">
        <f>VLOOKUP(I10,PL!$A:$S,18,FALSE)</f>
        <v>107142.86</v>
      </c>
      <c r="M10" s="18">
        <f t="shared" si="2"/>
        <v>107142.86</v>
      </c>
      <c r="N10" s="19">
        <f t="shared" si="3"/>
        <v>0</v>
      </c>
      <c r="P10" s="26" t="s">
        <v>731</v>
      </c>
      <c r="Q10" s="26" t="s">
        <v>732</v>
      </c>
    </row>
    <row r="11" spans="2:17" x14ac:dyDescent="0.4">
      <c r="B11" s="6" t="s">
        <v>34</v>
      </c>
      <c r="C11" s="20" t="s">
        <v>35</v>
      </c>
      <c r="D11" s="17">
        <f>VLOOKUP(B11,BS!$A:$S,5,FALSE)</f>
        <v>0</v>
      </c>
      <c r="E11" s="17">
        <f>VLOOKUP(B11,BS!$A:$S,18,FALSE)</f>
        <v>0</v>
      </c>
      <c r="F11" s="18">
        <f t="shared" si="0"/>
        <v>0</v>
      </c>
      <c r="G11" s="19">
        <f t="shared" si="1"/>
        <v>0</v>
      </c>
      <c r="I11" s="6" t="s">
        <v>436</v>
      </c>
      <c r="J11" s="20" t="s">
        <v>437</v>
      </c>
      <c r="K11" s="17">
        <f>VLOOKUP(I11,PL!$A:$S,4,FALSE)</f>
        <v>0</v>
      </c>
      <c r="L11" s="17">
        <f>VLOOKUP(I11,PL!$A:$S,18,FALSE)</f>
        <v>0</v>
      </c>
      <c r="M11" s="18">
        <f t="shared" si="2"/>
        <v>0</v>
      </c>
      <c r="N11" s="19">
        <f t="shared" si="3"/>
        <v>0</v>
      </c>
      <c r="P11" s="27">
        <f>D113/D162</f>
        <v>-12.63015325206019</v>
      </c>
      <c r="Q11" s="27">
        <f>E113/E162</f>
        <v>-10.874032601412813</v>
      </c>
    </row>
    <row r="12" spans="2:17" x14ac:dyDescent="0.4">
      <c r="B12" s="6" t="s">
        <v>36</v>
      </c>
      <c r="C12" s="20" t="s">
        <v>37</v>
      </c>
      <c r="D12" s="17">
        <f>VLOOKUP(B12,BS!$A:$S,5,FALSE)</f>
        <v>0</v>
      </c>
      <c r="E12" s="17">
        <f>VLOOKUP(B12,BS!$A:$S,18,FALSE)</f>
        <v>0</v>
      </c>
      <c r="F12" s="18">
        <f t="shared" si="0"/>
        <v>0</v>
      </c>
      <c r="G12" s="19">
        <f t="shared" si="1"/>
        <v>0</v>
      </c>
      <c r="I12" s="6" t="s">
        <v>438</v>
      </c>
      <c r="J12" s="20" t="s">
        <v>439</v>
      </c>
      <c r="K12" s="17">
        <f>VLOOKUP(I12,PL!$A:$S,4,FALSE)</f>
        <v>0</v>
      </c>
      <c r="L12" s="17">
        <f>VLOOKUP(I12,PL!$A:$S,18,FALSE)</f>
        <v>0</v>
      </c>
      <c r="M12" s="18">
        <f t="shared" si="2"/>
        <v>0</v>
      </c>
      <c r="N12" s="19">
        <f t="shared" si="3"/>
        <v>0</v>
      </c>
    </row>
    <row r="13" spans="2:17" x14ac:dyDescent="0.4">
      <c r="B13" s="6" t="s">
        <v>38</v>
      </c>
      <c r="C13" s="20" t="s">
        <v>39</v>
      </c>
      <c r="D13" s="17">
        <f>VLOOKUP(B13,BS!$A:$S,5,FALSE)</f>
        <v>27774499433.84</v>
      </c>
      <c r="E13" s="17">
        <f>VLOOKUP(B13,BS!$A:$S,18,FALSE)</f>
        <v>25356139359.349998</v>
      </c>
      <c r="F13" s="18">
        <f t="shared" si="0"/>
        <v>-2418360074.4900017</v>
      </c>
      <c r="G13" s="19">
        <f t="shared" si="1"/>
        <v>-8.7071238862490921E-2</v>
      </c>
      <c r="I13" s="6" t="s">
        <v>440</v>
      </c>
      <c r="J13" s="20" t="s">
        <v>441</v>
      </c>
      <c r="K13" s="17">
        <f>VLOOKUP(I13,PL!$A:$S,4,FALSE)</f>
        <v>0</v>
      </c>
      <c r="L13" s="17">
        <f>VLOOKUP(I13,PL!$A:$S,18,FALSE)</f>
        <v>0</v>
      </c>
      <c r="M13" s="18">
        <f t="shared" si="2"/>
        <v>0</v>
      </c>
      <c r="N13" s="19">
        <f t="shared" si="3"/>
        <v>0</v>
      </c>
      <c r="P13" s="46" t="s">
        <v>716</v>
      </c>
      <c r="Q13" s="47"/>
    </row>
    <row r="14" spans="2:17" x14ac:dyDescent="0.4">
      <c r="B14" s="6" t="s">
        <v>40</v>
      </c>
      <c r="C14" s="20" t="s">
        <v>41</v>
      </c>
      <c r="D14" s="17">
        <f>VLOOKUP(B14,BS!$A:$S,5,FALSE)</f>
        <v>-465989173</v>
      </c>
      <c r="E14" s="17">
        <f>VLOOKUP(B14,BS!$A:$S,18,FALSE)</f>
        <v>-510263020</v>
      </c>
      <c r="F14" s="18">
        <f t="shared" si="0"/>
        <v>-44273847</v>
      </c>
      <c r="G14" s="19">
        <f t="shared" si="1"/>
        <v>9.501046282892929E-2</v>
      </c>
      <c r="I14" s="6" t="s">
        <v>442</v>
      </c>
      <c r="J14" s="20" t="s">
        <v>443</v>
      </c>
      <c r="K14" s="17">
        <f>VLOOKUP(I14,PL!$A:$S,4,FALSE)</f>
        <v>0</v>
      </c>
      <c r="L14" s="17">
        <f>VLOOKUP(I14,PL!$A:$S,18,FALSE)</f>
        <v>0</v>
      </c>
      <c r="M14" s="18">
        <f t="shared" si="2"/>
        <v>0</v>
      </c>
      <c r="N14" s="19">
        <f t="shared" si="3"/>
        <v>0</v>
      </c>
      <c r="P14" s="26" t="s">
        <v>731</v>
      </c>
      <c r="Q14" s="26" t="s">
        <v>732</v>
      </c>
    </row>
    <row r="15" spans="2:17" x14ac:dyDescent="0.4">
      <c r="B15" s="6" t="s">
        <v>42</v>
      </c>
      <c r="C15" s="20" t="s">
        <v>43</v>
      </c>
      <c r="D15" s="17">
        <f>VLOOKUP(B15,BS!$A:$S,5,FALSE)</f>
        <v>0</v>
      </c>
      <c r="E15" s="17">
        <f>VLOOKUP(B15,BS!$A:$S,18,FALSE)</f>
        <v>0</v>
      </c>
      <c r="F15" s="18">
        <f t="shared" si="0"/>
        <v>0</v>
      </c>
      <c r="G15" s="19">
        <f t="shared" si="1"/>
        <v>0</v>
      </c>
      <c r="I15" s="6" t="s">
        <v>444</v>
      </c>
      <c r="J15" s="20" t="s">
        <v>445</v>
      </c>
      <c r="K15" s="17">
        <f>VLOOKUP(I15,PL!$A:$S,4,FALSE)</f>
        <v>0</v>
      </c>
      <c r="L15" s="17">
        <f>VLOOKUP(I15,PL!$A:$S,18,FALSE)</f>
        <v>0</v>
      </c>
      <c r="M15" s="18">
        <f t="shared" si="2"/>
        <v>0</v>
      </c>
      <c r="N15" s="19">
        <f t="shared" si="3"/>
        <v>0</v>
      </c>
      <c r="P15" s="27">
        <f>K76/K4</f>
        <v>-0.1625159411999495</v>
      </c>
      <c r="Q15" s="27">
        <f>L76/L4</f>
        <v>6.7581144583713653E-4</v>
      </c>
    </row>
    <row r="16" spans="2:17" x14ac:dyDescent="0.4">
      <c r="B16" s="6" t="s">
        <v>44</v>
      </c>
      <c r="C16" s="20" t="s">
        <v>45</v>
      </c>
      <c r="D16" s="17">
        <f>VLOOKUP(B16,BS!$A:$S,5,FALSE)</f>
        <v>402992549.94</v>
      </c>
      <c r="E16" s="17">
        <f>VLOOKUP(B16,BS!$A:$S,18,FALSE)</f>
        <v>148532587.22</v>
      </c>
      <c r="F16" s="18">
        <f t="shared" si="0"/>
        <v>-254459962.72</v>
      </c>
      <c r="G16" s="19">
        <f t="shared" si="1"/>
        <v>-0.63142597241037224</v>
      </c>
      <c r="I16" s="6" t="s">
        <v>446</v>
      </c>
      <c r="J16" s="20" t="s">
        <v>447</v>
      </c>
      <c r="K16" s="17">
        <f>VLOOKUP(I16,PL!$A:$S,4,FALSE)</f>
        <v>0</v>
      </c>
      <c r="L16" s="17">
        <f>VLOOKUP(I16,PL!$A:$S,18,FALSE)</f>
        <v>0</v>
      </c>
      <c r="M16" s="18">
        <f t="shared" si="2"/>
        <v>0</v>
      </c>
      <c r="N16" s="19">
        <f t="shared" si="3"/>
        <v>0</v>
      </c>
    </row>
    <row r="17" spans="2:17" x14ac:dyDescent="0.4">
      <c r="B17" s="6" t="s">
        <v>46</v>
      </c>
      <c r="C17" s="20" t="s">
        <v>47</v>
      </c>
      <c r="D17" s="17">
        <f>VLOOKUP(B17,BS!$A:$S,5,FALSE)</f>
        <v>0</v>
      </c>
      <c r="E17" s="17">
        <f>VLOOKUP(B17,BS!$A:$S,18,FALSE)</f>
        <v>0</v>
      </c>
      <c r="F17" s="18">
        <f t="shared" si="0"/>
        <v>0</v>
      </c>
      <c r="G17" s="19">
        <f t="shared" si="1"/>
        <v>0</v>
      </c>
      <c r="I17" s="6" t="s">
        <v>448</v>
      </c>
      <c r="J17" s="20" t="s">
        <v>449</v>
      </c>
      <c r="K17" s="17">
        <f>VLOOKUP(I17,PL!$A:$S,4,FALSE)</f>
        <v>0</v>
      </c>
      <c r="L17" s="17">
        <f>VLOOKUP(I17,PL!$A:$S,18,FALSE)</f>
        <v>0</v>
      </c>
      <c r="M17" s="18">
        <f t="shared" si="2"/>
        <v>0</v>
      </c>
      <c r="N17" s="19">
        <f t="shared" si="3"/>
        <v>0</v>
      </c>
      <c r="P17" s="46" t="s">
        <v>734</v>
      </c>
      <c r="Q17" s="47"/>
    </row>
    <row r="18" spans="2:17" x14ac:dyDescent="0.4">
      <c r="B18" s="6" t="s">
        <v>48</v>
      </c>
      <c r="C18" s="20" t="s">
        <v>49</v>
      </c>
      <c r="D18" s="17">
        <f>VLOOKUP(B18,BS!$A:$S,5,FALSE)</f>
        <v>0</v>
      </c>
      <c r="E18" s="17">
        <f>VLOOKUP(B18,BS!$A:$S,18,FALSE)</f>
        <v>0</v>
      </c>
      <c r="F18" s="18">
        <f t="shared" si="0"/>
        <v>0</v>
      </c>
      <c r="G18" s="19">
        <f t="shared" si="1"/>
        <v>0</v>
      </c>
      <c r="I18" s="6" t="s">
        <v>450</v>
      </c>
      <c r="J18" s="20" t="s">
        <v>451</v>
      </c>
      <c r="K18" s="17">
        <f>VLOOKUP(I18,PL!$A:$S,4,FALSE)</f>
        <v>0</v>
      </c>
      <c r="L18" s="17">
        <f>VLOOKUP(I18,PL!$A:$S,18,FALSE)</f>
        <v>0</v>
      </c>
      <c r="M18" s="18">
        <f t="shared" si="2"/>
        <v>0</v>
      </c>
      <c r="N18" s="19">
        <f t="shared" si="3"/>
        <v>0</v>
      </c>
      <c r="P18" s="26" t="s">
        <v>731</v>
      </c>
      <c r="Q18" s="26" t="s">
        <v>732</v>
      </c>
    </row>
    <row r="19" spans="2:17" x14ac:dyDescent="0.4">
      <c r="B19" s="6" t="s">
        <v>50</v>
      </c>
      <c r="C19" s="20" t="s">
        <v>51</v>
      </c>
      <c r="D19" s="17">
        <f>VLOOKUP(B19,BS!$A:$S,5,FALSE)</f>
        <v>0</v>
      </c>
      <c r="E19" s="17">
        <f>VLOOKUP(B19,BS!$A:$S,18,FALSE)</f>
        <v>0</v>
      </c>
      <c r="F19" s="18">
        <f t="shared" si="0"/>
        <v>0</v>
      </c>
      <c r="G19" s="19">
        <f t="shared" si="1"/>
        <v>0</v>
      </c>
      <c r="I19" s="6" t="s">
        <v>737</v>
      </c>
      <c r="J19" s="20" t="s">
        <v>738</v>
      </c>
      <c r="K19" s="17">
        <f>VLOOKUP(I19,PL!$A:$S,4,FALSE)</f>
        <v>0</v>
      </c>
      <c r="L19" s="17">
        <f>VLOOKUP(I19,PL!$A:$S,18,FALSE)</f>
        <v>0</v>
      </c>
      <c r="M19" s="18">
        <f t="shared" ref="M19" si="4">L19-K19</f>
        <v>0</v>
      </c>
      <c r="N19" s="19">
        <f t="shared" ref="N19" si="5">IFERROR(M19/K19,0)</f>
        <v>0</v>
      </c>
      <c r="P19" s="35">
        <f>K76</f>
        <v>-2216366690.8299999</v>
      </c>
      <c r="Q19" s="35">
        <f>L76</f>
        <v>11106070.310000001</v>
      </c>
    </row>
    <row r="20" spans="2:17" x14ac:dyDescent="0.4">
      <c r="B20" s="6" t="s">
        <v>52</v>
      </c>
      <c r="C20" s="20" t="s">
        <v>53</v>
      </c>
      <c r="D20" s="17">
        <f>VLOOKUP(B20,BS!$A:$S,5,FALSE)</f>
        <v>628215.49</v>
      </c>
      <c r="E20" s="17">
        <f>VLOOKUP(B20,BS!$A:$S,18,FALSE)</f>
        <v>0</v>
      </c>
      <c r="F20" s="18">
        <f t="shared" si="0"/>
        <v>-628215.49</v>
      </c>
      <c r="G20" s="19">
        <f t="shared" si="1"/>
        <v>-1</v>
      </c>
      <c r="I20" s="6" t="s">
        <v>452</v>
      </c>
      <c r="J20" s="20" t="s">
        <v>453</v>
      </c>
      <c r="K20" s="17">
        <f>VLOOKUP(I20,PL!$A:$S,4,FALSE)</f>
        <v>0</v>
      </c>
      <c r="L20" s="17">
        <f>VLOOKUP(I20,PL!$A:$S,18,FALSE)</f>
        <v>0</v>
      </c>
      <c r="M20" s="18">
        <f t="shared" si="2"/>
        <v>0</v>
      </c>
      <c r="N20" s="19">
        <f t="shared" si="3"/>
        <v>0</v>
      </c>
    </row>
    <row r="21" spans="2:17" x14ac:dyDescent="0.4">
      <c r="B21" s="6" t="s">
        <v>54</v>
      </c>
      <c r="C21" s="20" t="s">
        <v>55</v>
      </c>
      <c r="D21" s="17">
        <f>VLOOKUP(B21,BS!$A:$S,5,FALSE)</f>
        <v>0</v>
      </c>
      <c r="E21" s="17">
        <f>VLOOKUP(B21,BS!$A:$S,18,FALSE)</f>
        <v>0</v>
      </c>
      <c r="F21" s="18">
        <f t="shared" si="0"/>
        <v>0</v>
      </c>
      <c r="G21" s="19">
        <f t="shared" si="1"/>
        <v>0</v>
      </c>
      <c r="I21" s="15" t="s">
        <v>454</v>
      </c>
      <c r="J21" s="16" t="s">
        <v>455</v>
      </c>
      <c r="K21" s="17">
        <f>VLOOKUP(I21,PL!$A:$S,4,FALSE)</f>
        <v>9597652665</v>
      </c>
      <c r="L21" s="17">
        <f>VLOOKUP(I21,PL!$A:$S,18,FALSE)</f>
        <v>11097593575</v>
      </c>
      <c r="M21" s="18">
        <f t="shared" si="2"/>
        <v>1499940910</v>
      </c>
      <c r="N21" s="19">
        <f t="shared" si="3"/>
        <v>0.15628205795255251</v>
      </c>
      <c r="P21" s="46" t="s">
        <v>717</v>
      </c>
      <c r="Q21" s="47"/>
    </row>
    <row r="22" spans="2:17" x14ac:dyDescent="0.4">
      <c r="B22" s="6" t="s">
        <v>56</v>
      </c>
      <c r="C22" s="20" t="s">
        <v>57</v>
      </c>
      <c r="D22" s="17">
        <f>VLOOKUP(B22,BS!$A:$S,5,FALSE)</f>
        <v>0</v>
      </c>
      <c r="E22" s="17">
        <f>VLOOKUP(B22,BS!$A:$S,18,FALSE)</f>
        <v>0</v>
      </c>
      <c r="F22" s="18">
        <f t="shared" si="0"/>
        <v>0</v>
      </c>
      <c r="G22" s="19">
        <f t="shared" si="1"/>
        <v>0</v>
      </c>
      <c r="I22" s="15" t="s">
        <v>456</v>
      </c>
      <c r="J22" s="16" t="s">
        <v>457</v>
      </c>
      <c r="K22" s="17">
        <f>VLOOKUP(I22,PL!$A:$S,4,FALSE)</f>
        <v>9597652665</v>
      </c>
      <c r="L22" s="17">
        <f>VLOOKUP(I22,PL!$A:$S,18,FALSE)</f>
        <v>11097593575</v>
      </c>
      <c r="M22" s="18">
        <f t="shared" si="2"/>
        <v>1499940910</v>
      </c>
      <c r="N22" s="19">
        <f t="shared" si="3"/>
        <v>0.15628205795255251</v>
      </c>
      <c r="P22" s="26" t="s">
        <v>731</v>
      </c>
      <c r="Q22" s="26" t="s">
        <v>732</v>
      </c>
    </row>
    <row r="23" spans="2:17" x14ac:dyDescent="0.4">
      <c r="B23" s="6" t="s">
        <v>58</v>
      </c>
      <c r="C23" s="20" t="s">
        <v>59</v>
      </c>
      <c r="D23" s="17">
        <f>VLOOKUP(B23,BS!$A:$S,5,FALSE)</f>
        <v>305559877.22000003</v>
      </c>
      <c r="E23" s="17">
        <f>VLOOKUP(B23,BS!$A:$S,18,FALSE)</f>
        <v>229378391.34999999</v>
      </c>
      <c r="F23" s="18">
        <f t="shared" si="0"/>
        <v>-76181485.870000035</v>
      </c>
      <c r="G23" s="19">
        <f t="shared" si="1"/>
        <v>-0.24931770022655866</v>
      </c>
      <c r="I23" s="6" t="s">
        <v>458</v>
      </c>
      <c r="J23" s="20" t="s">
        <v>459</v>
      </c>
      <c r="K23" s="17">
        <f>VLOOKUP(I23,PL!$A:$S,4,FALSE)</f>
        <v>-9112346</v>
      </c>
      <c r="L23" s="17">
        <f>VLOOKUP(I23,PL!$A:$S,18,FALSE)</f>
        <v>852723888</v>
      </c>
      <c r="M23" s="18">
        <f t="shared" si="2"/>
        <v>861836234</v>
      </c>
      <c r="N23" s="19">
        <f t="shared" si="3"/>
        <v>-94.578962870812845</v>
      </c>
      <c r="P23" s="27">
        <f>K39/K4</f>
        <v>0.45876436317088037</v>
      </c>
      <c r="Q23" s="27">
        <f>L39/L4</f>
        <v>0.3240285574360427</v>
      </c>
    </row>
    <row r="24" spans="2:17" x14ac:dyDescent="0.4">
      <c r="B24" s="6" t="s">
        <v>60</v>
      </c>
      <c r="C24" s="20" t="s">
        <v>61</v>
      </c>
      <c r="D24" s="17">
        <f>VLOOKUP(B24,BS!$A:$S,5,FALSE)</f>
        <v>0</v>
      </c>
      <c r="E24" s="17">
        <f>VLOOKUP(B24,BS!$A:$S,18,FALSE)</f>
        <v>0</v>
      </c>
      <c r="F24" s="18">
        <f t="shared" si="0"/>
        <v>0</v>
      </c>
      <c r="G24" s="19">
        <f t="shared" si="1"/>
        <v>0</v>
      </c>
      <c r="I24" s="6" t="s">
        <v>460</v>
      </c>
      <c r="J24" s="20" t="s">
        <v>461</v>
      </c>
      <c r="K24" s="17">
        <f>VLOOKUP(I24,PL!$A:$S,4,FALSE)</f>
        <v>9280422037</v>
      </c>
      <c r="L24" s="17">
        <f>VLOOKUP(I24,PL!$A:$S,18,FALSE)</f>
        <v>10215566343</v>
      </c>
      <c r="M24" s="18">
        <f t="shared" si="2"/>
        <v>935144306</v>
      </c>
      <c r="N24" s="19">
        <f t="shared" si="3"/>
        <v>0.10076527794443881</v>
      </c>
    </row>
    <row r="25" spans="2:17" x14ac:dyDescent="0.4">
      <c r="B25" s="6" t="s">
        <v>62</v>
      </c>
      <c r="C25" s="20" t="s">
        <v>63</v>
      </c>
      <c r="D25" s="17">
        <f>VLOOKUP(B25,BS!$A:$S,5,FALSE)</f>
        <v>360181000</v>
      </c>
      <c r="E25" s="17">
        <f>VLOOKUP(B25,BS!$A:$S,18,FALSE)</f>
        <v>0</v>
      </c>
      <c r="F25" s="18">
        <f t="shared" si="0"/>
        <v>-360181000</v>
      </c>
      <c r="G25" s="19">
        <f t="shared" si="1"/>
        <v>-1</v>
      </c>
      <c r="I25" s="6" t="s">
        <v>462</v>
      </c>
      <c r="J25" s="20" t="s">
        <v>463</v>
      </c>
      <c r="K25" s="17">
        <f>VLOOKUP(I25,PL!$A:$S,4,FALSE)</f>
        <v>277342974</v>
      </c>
      <c r="L25" s="17">
        <f>VLOOKUP(I25,PL!$A:$S,18,FALSE)</f>
        <v>29243687</v>
      </c>
      <c r="M25" s="18">
        <f t="shared" si="2"/>
        <v>-248099287</v>
      </c>
      <c r="N25" s="19">
        <f t="shared" si="3"/>
        <v>-0.8945576786091578</v>
      </c>
      <c r="P25" s="9" t="s">
        <v>733</v>
      </c>
    </row>
    <row r="26" spans="2:17" x14ac:dyDescent="0.4">
      <c r="B26" s="6" t="s">
        <v>64</v>
      </c>
      <c r="C26" s="20" t="s">
        <v>65</v>
      </c>
      <c r="D26" s="17">
        <f>VLOOKUP(B26,BS!$A:$S,5,FALSE)</f>
        <v>582127104.49000001</v>
      </c>
      <c r="E26" s="17">
        <f>VLOOKUP(B26,BS!$A:$S,18,FALSE)</f>
        <v>665315162.62</v>
      </c>
      <c r="F26" s="18">
        <f t="shared" si="0"/>
        <v>83188058.129999995</v>
      </c>
      <c r="G26" s="19">
        <f t="shared" si="1"/>
        <v>0.14290359869582234</v>
      </c>
      <c r="I26" s="6" t="s">
        <v>464</v>
      </c>
      <c r="J26" s="20" t="s">
        <v>465</v>
      </c>
      <c r="K26" s="17">
        <f>VLOOKUP(I26,PL!$A:$S,4,FALSE)</f>
        <v>49000000</v>
      </c>
      <c r="L26" s="17">
        <f>VLOOKUP(I26,PL!$A:$S,18,FALSE)</f>
        <v>0</v>
      </c>
      <c r="M26" s="18">
        <f t="shared" si="2"/>
        <v>-49000000</v>
      </c>
      <c r="N26" s="19">
        <f t="shared" si="3"/>
        <v>-1</v>
      </c>
      <c r="P26" s="28" t="s">
        <v>719</v>
      </c>
      <c r="Q26" s="29">
        <f>N4</f>
        <v>0.20500605280603826</v>
      </c>
    </row>
    <row r="27" spans="2:17" x14ac:dyDescent="0.4">
      <c r="B27" s="6" t="s">
        <v>66</v>
      </c>
      <c r="C27" s="20" t="s">
        <v>67</v>
      </c>
      <c r="D27" s="17">
        <f>VLOOKUP(B27,BS!$A:$S,5,FALSE)</f>
        <v>580568999.79999995</v>
      </c>
      <c r="E27" s="17">
        <f>VLOOKUP(B27,BS!$A:$S,18,FALSE)</f>
        <v>578565044.98000002</v>
      </c>
      <c r="F27" s="18">
        <f t="shared" si="0"/>
        <v>-2003954.8199999332</v>
      </c>
      <c r="G27" s="19">
        <f t="shared" si="1"/>
        <v>-3.451708273590693E-3</v>
      </c>
      <c r="I27" s="6" t="s">
        <v>466</v>
      </c>
      <c r="J27" s="20" t="s">
        <v>467</v>
      </c>
      <c r="K27" s="17">
        <f>VLOOKUP(I27,PL!$A:$S,4,FALSE)</f>
        <v>0</v>
      </c>
      <c r="L27" s="17">
        <f>VLOOKUP(I27,PL!$A:$S,18,FALSE)</f>
        <v>59657</v>
      </c>
      <c r="M27" s="18">
        <f t="shared" si="2"/>
        <v>59657</v>
      </c>
      <c r="N27" s="19">
        <f t="shared" si="3"/>
        <v>0</v>
      </c>
      <c r="P27" s="28" t="s">
        <v>720</v>
      </c>
      <c r="Q27" s="29">
        <f>N21</f>
        <v>0.15628205795255251</v>
      </c>
    </row>
    <row r="28" spans="2:17" x14ac:dyDescent="0.4">
      <c r="B28" s="6" t="s">
        <v>68</v>
      </c>
      <c r="C28" s="20" t="s">
        <v>69</v>
      </c>
      <c r="D28" s="17">
        <f>VLOOKUP(B28,BS!$A:$S,5,FALSE)</f>
        <v>0</v>
      </c>
      <c r="E28" s="17">
        <f>VLOOKUP(B28,BS!$A:$S,18,FALSE)</f>
        <v>0</v>
      </c>
      <c r="F28" s="18">
        <f t="shared" si="0"/>
        <v>0</v>
      </c>
      <c r="G28" s="19">
        <f t="shared" si="1"/>
        <v>0</v>
      </c>
      <c r="I28" s="6" t="s">
        <v>468</v>
      </c>
      <c r="J28" s="20" t="s">
        <v>469</v>
      </c>
      <c r="K28" s="17">
        <f>VLOOKUP(I28,PL!$A:$S,4,FALSE)</f>
        <v>0</v>
      </c>
      <c r="L28" s="17">
        <f>VLOOKUP(I28,PL!$A:$S,18,FALSE)</f>
        <v>0</v>
      </c>
      <c r="M28" s="18">
        <f t="shared" si="2"/>
        <v>0</v>
      </c>
      <c r="N28" s="19">
        <f t="shared" si="3"/>
        <v>0</v>
      </c>
      <c r="P28" s="28" t="s">
        <v>721</v>
      </c>
      <c r="Q28" s="29">
        <f>N39</f>
        <v>-0.14889558924391988</v>
      </c>
    </row>
    <row r="29" spans="2:17" x14ac:dyDescent="0.4">
      <c r="B29" s="6" t="s">
        <v>70</v>
      </c>
      <c r="C29" s="20" t="s">
        <v>71</v>
      </c>
      <c r="D29" s="17">
        <f>VLOOKUP(B29,BS!$A:$S,5,FALSE)</f>
        <v>518793938</v>
      </c>
      <c r="E29" s="17">
        <f>VLOOKUP(B29,BS!$A:$S,18,FALSE)</f>
        <v>538033863</v>
      </c>
      <c r="F29" s="18">
        <f t="shared" si="0"/>
        <v>19239925</v>
      </c>
      <c r="G29" s="19">
        <f t="shared" si="1"/>
        <v>3.7085870883865259E-2</v>
      </c>
      <c r="I29" s="6" t="s">
        <v>470</v>
      </c>
      <c r="J29" s="20" t="s">
        <v>471</v>
      </c>
      <c r="K29" s="17">
        <f>VLOOKUP(I29,PL!$A:$S,4,FALSE)</f>
        <v>0</v>
      </c>
      <c r="L29" s="17">
        <f>VLOOKUP(I29,PL!$A:$S,18,FALSE)</f>
        <v>0</v>
      </c>
      <c r="M29" s="18">
        <f t="shared" si="2"/>
        <v>0</v>
      </c>
      <c r="N29" s="19">
        <f t="shared" si="3"/>
        <v>0</v>
      </c>
    </row>
    <row r="30" spans="2:17" x14ac:dyDescent="0.4">
      <c r="B30" s="6" t="s">
        <v>72</v>
      </c>
      <c r="C30" s="20" t="s">
        <v>73</v>
      </c>
      <c r="D30" s="17">
        <f>VLOOKUP(B30,BS!$A:$S,5,FALSE)</f>
        <v>456057975</v>
      </c>
      <c r="E30" s="17">
        <f>VLOOKUP(B30,BS!$A:$S,18,FALSE)</f>
        <v>408418438</v>
      </c>
      <c r="F30" s="18">
        <f t="shared" si="0"/>
        <v>-47639537</v>
      </c>
      <c r="G30" s="19">
        <f t="shared" si="1"/>
        <v>-0.10445938808547313</v>
      </c>
      <c r="I30" s="6" t="s">
        <v>472</v>
      </c>
      <c r="J30" s="20" t="s">
        <v>473</v>
      </c>
      <c r="K30" s="17">
        <f>VLOOKUP(I30,PL!$A:$S,4,FALSE)</f>
        <v>0</v>
      </c>
      <c r="L30" s="17">
        <f>VLOOKUP(I30,PL!$A:$S,18,FALSE)</f>
        <v>0</v>
      </c>
      <c r="M30" s="18">
        <f t="shared" si="2"/>
        <v>0</v>
      </c>
      <c r="N30" s="19">
        <f t="shared" si="3"/>
        <v>0</v>
      </c>
    </row>
    <row r="31" spans="2:17" x14ac:dyDescent="0.4">
      <c r="B31" s="6" t="s">
        <v>74</v>
      </c>
      <c r="C31" s="20" t="s">
        <v>75</v>
      </c>
      <c r="D31" s="17">
        <f>VLOOKUP(B31,BS!$A:$S,5,FALSE)</f>
        <v>0</v>
      </c>
      <c r="E31" s="17">
        <f>VLOOKUP(B31,BS!$A:$S,18,FALSE)</f>
        <v>0</v>
      </c>
      <c r="F31" s="18">
        <f t="shared" si="0"/>
        <v>0</v>
      </c>
      <c r="G31" s="19">
        <f t="shared" si="1"/>
        <v>0</v>
      </c>
      <c r="I31" s="6" t="s">
        <v>474</v>
      </c>
      <c r="J31" s="20" t="s">
        <v>475</v>
      </c>
      <c r="K31" s="17">
        <f>VLOOKUP(I31,PL!$A:$S,4,FALSE)</f>
        <v>0</v>
      </c>
      <c r="L31" s="17">
        <f>VLOOKUP(I31,PL!$A:$S,18,FALSE)</f>
        <v>0</v>
      </c>
      <c r="M31" s="18">
        <f t="shared" si="2"/>
        <v>0</v>
      </c>
      <c r="N31" s="19">
        <f t="shared" si="3"/>
        <v>0</v>
      </c>
    </row>
    <row r="32" spans="2:17" x14ac:dyDescent="0.4">
      <c r="B32" s="6" t="s">
        <v>76</v>
      </c>
      <c r="C32" s="20" t="s">
        <v>77</v>
      </c>
      <c r="D32" s="17">
        <f>VLOOKUP(B32,BS!$A:$S,5,FALSE)</f>
        <v>0</v>
      </c>
      <c r="E32" s="17">
        <f>VLOOKUP(B32,BS!$A:$S,18,FALSE)</f>
        <v>0</v>
      </c>
      <c r="F32" s="18">
        <f t="shared" si="0"/>
        <v>0</v>
      </c>
      <c r="G32" s="19">
        <f t="shared" si="1"/>
        <v>0</v>
      </c>
      <c r="I32" s="6" t="s">
        <v>476</v>
      </c>
      <c r="J32" s="20" t="s">
        <v>477</v>
      </c>
      <c r="K32" s="17">
        <f>VLOOKUP(I32,PL!$A:$S,4,FALSE)</f>
        <v>0</v>
      </c>
      <c r="L32" s="17">
        <f>VLOOKUP(I32,PL!$A:$S,18,FALSE)</f>
        <v>0</v>
      </c>
      <c r="M32" s="18">
        <f t="shared" si="2"/>
        <v>0</v>
      </c>
      <c r="N32" s="19">
        <f t="shared" si="3"/>
        <v>0</v>
      </c>
    </row>
    <row r="33" spans="2:15" x14ac:dyDescent="0.4">
      <c r="B33" s="15" t="s">
        <v>78</v>
      </c>
      <c r="C33" s="16" t="s">
        <v>79</v>
      </c>
      <c r="D33" s="17">
        <f>VLOOKUP(B33,BS!$A:$S,5,FALSE)</f>
        <v>23036177281.529999</v>
      </c>
      <c r="E33" s="17">
        <f>VLOOKUP(B33,BS!$A:$S,18,FALSE)</f>
        <v>24990231714.07</v>
      </c>
      <c r="F33" s="18">
        <f t="shared" si="0"/>
        <v>1954054432.5400009</v>
      </c>
      <c r="G33" s="19">
        <f t="shared" si="1"/>
        <v>8.4825464253859839E-2</v>
      </c>
      <c r="I33" s="6" t="s">
        <v>478</v>
      </c>
      <c r="J33" s="20" t="s">
        <v>479</v>
      </c>
      <c r="K33" s="17">
        <f>VLOOKUP(I33,PL!$A:$S,4,FALSE)</f>
        <v>0</v>
      </c>
      <c r="L33" s="17">
        <f>VLOOKUP(I33,PL!$A:$S,18,FALSE)</f>
        <v>0</v>
      </c>
      <c r="M33" s="18">
        <f t="shared" si="2"/>
        <v>0</v>
      </c>
      <c r="N33" s="19">
        <f t="shared" si="3"/>
        <v>0</v>
      </c>
    </row>
    <row r="34" spans="2:15" x14ac:dyDescent="0.4">
      <c r="B34" s="15" t="s">
        <v>80</v>
      </c>
      <c r="C34" s="16" t="s">
        <v>81</v>
      </c>
      <c r="D34" s="17">
        <f>VLOOKUP(B34,BS!$A:$S,5,FALSE)</f>
        <v>24889807874.619999</v>
      </c>
      <c r="E34" s="17">
        <f>VLOOKUP(B34,BS!$A:$S,18,FALSE)</f>
        <v>27621801653</v>
      </c>
      <c r="F34" s="18">
        <f t="shared" si="0"/>
        <v>2731993778.3800011</v>
      </c>
      <c r="G34" s="19">
        <f t="shared" si="1"/>
        <v>0.10976355430874178</v>
      </c>
      <c r="I34" s="6" t="s">
        <v>480</v>
      </c>
      <c r="J34" s="20" t="s">
        <v>481</v>
      </c>
      <c r="K34" s="17">
        <f>VLOOKUP(I34,PL!$A:$S,4,FALSE)</f>
        <v>0</v>
      </c>
      <c r="L34" s="17">
        <f>VLOOKUP(I34,PL!$A:$S,18,FALSE)</f>
        <v>0</v>
      </c>
      <c r="M34" s="18">
        <f t="shared" si="2"/>
        <v>0</v>
      </c>
      <c r="N34" s="19">
        <f t="shared" si="3"/>
        <v>0</v>
      </c>
    </row>
    <row r="35" spans="2:15" x14ac:dyDescent="0.4">
      <c r="B35" s="6" t="s">
        <v>82</v>
      </c>
      <c r="C35" s="20" t="s">
        <v>83</v>
      </c>
      <c r="D35" s="17">
        <f>VLOOKUP(B35,BS!$A:$S,5,FALSE)</f>
        <v>4392768889</v>
      </c>
      <c r="E35" s="17">
        <f>VLOOKUP(B35,BS!$A:$S,18,FALSE)</f>
        <v>3539255176</v>
      </c>
      <c r="F35" s="18">
        <f t="shared" si="0"/>
        <v>-853513713</v>
      </c>
      <c r="G35" s="19">
        <f t="shared" si="1"/>
        <v>-0.19429970812652966</v>
      </c>
      <c r="I35" s="6" t="s">
        <v>482</v>
      </c>
      <c r="J35" s="20" t="s">
        <v>483</v>
      </c>
      <c r="K35" s="17">
        <f>VLOOKUP(I35,PL!$A:$S,4,FALSE)</f>
        <v>0</v>
      </c>
      <c r="L35" s="17">
        <f>VLOOKUP(I35,PL!$A:$S,18,FALSE)</f>
        <v>0</v>
      </c>
      <c r="M35" s="18">
        <f t="shared" si="2"/>
        <v>0</v>
      </c>
      <c r="N35" s="19">
        <f t="shared" si="3"/>
        <v>0</v>
      </c>
    </row>
    <row r="36" spans="2:15" x14ac:dyDescent="0.4">
      <c r="B36" s="6" t="s">
        <v>84</v>
      </c>
      <c r="C36" s="20" t="s">
        <v>85</v>
      </c>
      <c r="D36" s="17">
        <f>VLOOKUP(B36,BS!$A:$S,5,FALSE)</f>
        <v>19421261229.639999</v>
      </c>
      <c r="E36" s="17">
        <f>VLOOKUP(B36,BS!$A:$S,18,FALSE)</f>
        <v>22703472537</v>
      </c>
      <c r="F36" s="18">
        <f t="shared" si="0"/>
        <v>3282211307.3600006</v>
      </c>
      <c r="G36" s="19">
        <f t="shared" si="1"/>
        <v>0.16900093503458019</v>
      </c>
      <c r="I36" s="6" t="s">
        <v>739</v>
      </c>
      <c r="J36" s="20" t="s">
        <v>740</v>
      </c>
      <c r="K36" s="17">
        <f>VLOOKUP(I36,PL!$A:$S,4,FALSE)</f>
        <v>0</v>
      </c>
      <c r="L36" s="17">
        <f>VLOOKUP(I36,PL!$A:$S,18,FALSE)</f>
        <v>0</v>
      </c>
      <c r="M36" s="18">
        <f t="shared" ref="M36" si="6">L36-K36</f>
        <v>0</v>
      </c>
      <c r="N36" s="19">
        <f t="shared" ref="N36" si="7">IFERROR(M36/K36,0)</f>
        <v>0</v>
      </c>
    </row>
    <row r="37" spans="2:15" x14ac:dyDescent="0.4">
      <c r="B37" s="6" t="s">
        <v>86</v>
      </c>
      <c r="C37" s="20" t="s">
        <v>87</v>
      </c>
      <c r="D37" s="17">
        <f>VLOOKUP(B37,BS!$A:$S,5,FALSE)</f>
        <v>793030643</v>
      </c>
      <c r="E37" s="17">
        <f>VLOOKUP(B37,BS!$A:$S,18,FALSE)</f>
        <v>1107768726</v>
      </c>
      <c r="F37" s="18">
        <f t="shared" si="0"/>
        <v>314738083</v>
      </c>
      <c r="G37" s="19">
        <f t="shared" si="1"/>
        <v>0.39688010265197282</v>
      </c>
      <c r="I37" s="6" t="s">
        <v>484</v>
      </c>
      <c r="J37" s="20" t="s">
        <v>485</v>
      </c>
      <c r="K37" s="17">
        <f>VLOOKUP(I37,PL!$A:$S,4,FALSE)</f>
        <v>0</v>
      </c>
      <c r="L37" s="17">
        <f>VLOOKUP(I37,PL!$A:$S,18,FALSE)</f>
        <v>0</v>
      </c>
      <c r="M37" s="18">
        <f t="shared" si="2"/>
        <v>0</v>
      </c>
      <c r="N37" s="19">
        <f t="shared" si="3"/>
        <v>0</v>
      </c>
    </row>
    <row r="38" spans="2:15" x14ac:dyDescent="0.4">
      <c r="B38" s="6" t="s">
        <v>88</v>
      </c>
      <c r="C38" s="20" t="s">
        <v>89</v>
      </c>
      <c r="D38" s="17">
        <f>VLOOKUP(B38,BS!$A:$S,5,FALSE)</f>
        <v>196003041.97999999</v>
      </c>
      <c r="E38" s="17">
        <f>VLOOKUP(B38,BS!$A:$S,18,FALSE)</f>
        <v>184620800</v>
      </c>
      <c r="F38" s="18">
        <f t="shared" si="0"/>
        <v>-11382241.979999989</v>
      </c>
      <c r="G38" s="19">
        <f t="shared" si="1"/>
        <v>-5.8071761871743934E-2</v>
      </c>
      <c r="I38" s="15" t="s">
        <v>486</v>
      </c>
      <c r="J38" s="16" t="s">
        <v>487</v>
      </c>
      <c r="K38" s="17">
        <f>VLOOKUP(I38,PL!$A:$S,4,FALSE)</f>
        <v>4040189102.8000002</v>
      </c>
      <c r="L38" s="17">
        <f>VLOOKUP(I38,PL!$A:$S,18,FALSE)</f>
        <v>5336088302.4099998</v>
      </c>
      <c r="M38" s="18">
        <f t="shared" ref="M38:M70" si="8">L38-K38</f>
        <v>1295899199.6099997</v>
      </c>
      <c r="N38" s="19">
        <f t="shared" ref="N38:N70" si="9">IFERROR(M38/K38,0)</f>
        <v>0.32075211497201794</v>
      </c>
    </row>
    <row r="39" spans="2:15" x14ac:dyDescent="0.4">
      <c r="B39" s="6" t="s">
        <v>90</v>
      </c>
      <c r="C39" s="20" t="s">
        <v>91</v>
      </c>
      <c r="D39" s="17">
        <f>VLOOKUP(B39,BS!$A:$S,5,FALSE)</f>
        <v>86744071</v>
      </c>
      <c r="E39" s="17">
        <f>VLOOKUP(B39,BS!$A:$S,18,FALSE)</f>
        <v>86684414</v>
      </c>
      <c r="F39" s="18">
        <f t="shared" si="0"/>
        <v>-59657</v>
      </c>
      <c r="G39" s="19">
        <f t="shared" si="1"/>
        <v>-6.8773576467260798E-4</v>
      </c>
      <c r="I39" s="15" t="s">
        <v>488</v>
      </c>
      <c r="J39" s="16" t="s">
        <v>489</v>
      </c>
      <c r="K39" s="17">
        <f>VLOOKUP(I39,PL!$A:$S,4,FALSE)</f>
        <v>6256555793.6300001</v>
      </c>
      <c r="L39" s="17">
        <f>VLOOKUP(I39,PL!$A:$S,18,FALSE)</f>
        <v>5324982232.1000004</v>
      </c>
      <c r="M39" s="18">
        <f t="shared" si="8"/>
        <v>-931573561.52999973</v>
      </c>
      <c r="N39" s="19">
        <f t="shared" si="9"/>
        <v>-0.14889558924391988</v>
      </c>
    </row>
    <row r="40" spans="2:15" x14ac:dyDescent="0.4">
      <c r="B40" s="6" t="s">
        <v>92</v>
      </c>
      <c r="C40" s="20" t="s">
        <v>93</v>
      </c>
      <c r="D40" s="17">
        <f>VLOOKUP(B40,BS!$A:$S,5,FALSE)</f>
        <v>-2061516519</v>
      </c>
      <c r="E40" s="17">
        <f>VLOOKUP(B40,BS!$A:$S,18,FALSE)</f>
        <v>-1953184944</v>
      </c>
      <c r="F40" s="18">
        <f t="shared" si="0"/>
        <v>108331575</v>
      </c>
      <c r="G40" s="19">
        <f t="shared" si="1"/>
        <v>-5.2549457645165734E-2</v>
      </c>
      <c r="I40" s="6" t="s">
        <v>490</v>
      </c>
      <c r="J40" s="20" t="s">
        <v>491</v>
      </c>
      <c r="K40" s="17">
        <f>VLOOKUP(I40,PL!$A:$S,4,FALSE)</f>
        <v>4066385252.9400001</v>
      </c>
      <c r="L40" s="17">
        <f>VLOOKUP(I40,PL!$A:$S,18,FALSE)</f>
        <v>1486656319.21</v>
      </c>
      <c r="M40" s="18">
        <f t="shared" si="8"/>
        <v>-2579728933.73</v>
      </c>
      <c r="N40" s="19">
        <f t="shared" si="9"/>
        <v>-0.63440347464983893</v>
      </c>
    </row>
    <row r="41" spans="2:15" x14ac:dyDescent="0.4">
      <c r="B41" s="6" t="s">
        <v>94</v>
      </c>
      <c r="C41" s="20" t="s">
        <v>95</v>
      </c>
      <c r="D41" s="17">
        <f>VLOOKUP(B41,BS!$A:$S,5,FALSE)</f>
        <v>0</v>
      </c>
      <c r="E41" s="17">
        <f>VLOOKUP(B41,BS!$A:$S,18,FALSE)</f>
        <v>0</v>
      </c>
      <c r="F41" s="18">
        <f t="shared" si="0"/>
        <v>0</v>
      </c>
      <c r="G41" s="19">
        <f t="shared" si="1"/>
        <v>0</v>
      </c>
      <c r="I41" s="6" t="s">
        <v>492</v>
      </c>
      <c r="J41" s="20" t="s">
        <v>493</v>
      </c>
      <c r="K41" s="17">
        <f>VLOOKUP(I41,PL!$A:$S,4,FALSE)</f>
        <v>0</v>
      </c>
      <c r="L41" s="17">
        <f>VLOOKUP(I41,PL!$A:$S,18,FALSE)</f>
        <v>2708963681.79</v>
      </c>
      <c r="M41" s="18">
        <f t="shared" si="8"/>
        <v>2708963681.79</v>
      </c>
      <c r="N41" s="19">
        <f t="shared" si="9"/>
        <v>0</v>
      </c>
    </row>
    <row r="42" spans="2:15" x14ac:dyDescent="0.4">
      <c r="B42" s="6" t="s">
        <v>96</v>
      </c>
      <c r="C42" s="20" t="s">
        <v>97</v>
      </c>
      <c r="D42" s="17">
        <f>VLOOKUP(B42,BS!$A:$S,5,FALSE)</f>
        <v>0</v>
      </c>
      <c r="E42" s="17">
        <f>VLOOKUP(B42,BS!$A:$S,18,FALSE)</f>
        <v>0</v>
      </c>
      <c r="F42" s="18">
        <f t="shared" si="0"/>
        <v>0</v>
      </c>
      <c r="G42" s="19">
        <f t="shared" si="1"/>
        <v>0</v>
      </c>
      <c r="I42" s="6" t="s">
        <v>494</v>
      </c>
      <c r="J42" s="20" t="s">
        <v>495</v>
      </c>
      <c r="K42" s="17">
        <f>VLOOKUP(I42,PL!$A:$S,4,FALSE)</f>
        <v>0</v>
      </c>
      <c r="L42" s="17">
        <f>VLOOKUP(I42,PL!$A:$S,18,FALSE)</f>
        <v>0</v>
      </c>
      <c r="M42" s="18">
        <f t="shared" si="8"/>
        <v>0</v>
      </c>
      <c r="N42" s="19">
        <f t="shared" si="9"/>
        <v>0</v>
      </c>
    </row>
    <row r="43" spans="2:15" x14ac:dyDescent="0.4">
      <c r="B43" s="6" t="s">
        <v>98</v>
      </c>
      <c r="C43" s="20" t="s">
        <v>99</v>
      </c>
      <c r="D43" s="17">
        <f>VLOOKUP(B43,BS!$A:$S,5,FALSE)</f>
        <v>0</v>
      </c>
      <c r="E43" s="17">
        <f>VLOOKUP(B43,BS!$A:$S,18,FALSE)</f>
        <v>0</v>
      </c>
      <c r="F43" s="18">
        <f t="shared" si="0"/>
        <v>0</v>
      </c>
      <c r="G43" s="19">
        <f t="shared" si="1"/>
        <v>0</v>
      </c>
      <c r="I43" s="6" t="s">
        <v>741</v>
      </c>
      <c r="J43" s="20" t="s">
        <v>742</v>
      </c>
      <c r="K43" s="17">
        <f>VLOOKUP(I43,PL!$A:$S,4,FALSE)</f>
        <v>0</v>
      </c>
      <c r="L43" s="17">
        <f>VLOOKUP(I43,PL!$A:$S,18,FALSE)</f>
        <v>0</v>
      </c>
      <c r="M43" s="18">
        <f t="shared" ref="M43" si="10">L43-K43</f>
        <v>0</v>
      </c>
      <c r="N43" s="19">
        <f t="shared" ref="N43" si="11">IFERROR(M43/K43,0)</f>
        <v>0</v>
      </c>
    </row>
    <row r="44" spans="2:15" x14ac:dyDescent="0.4">
      <c r="B44" s="6" t="s">
        <v>100</v>
      </c>
      <c r="C44" s="20" t="s">
        <v>101</v>
      </c>
      <c r="D44" s="17">
        <f>VLOOKUP(B44,BS!$A:$S,5,FALSE)</f>
        <v>0</v>
      </c>
      <c r="E44" s="17">
        <f>VLOOKUP(B44,BS!$A:$S,18,FALSE)</f>
        <v>0</v>
      </c>
      <c r="F44" s="18">
        <f t="shared" si="0"/>
        <v>0</v>
      </c>
      <c r="G44" s="19">
        <f t="shared" si="1"/>
        <v>0</v>
      </c>
      <c r="I44" s="6" t="s">
        <v>496</v>
      </c>
      <c r="J44" s="20" t="s">
        <v>497</v>
      </c>
      <c r="K44" s="17">
        <f>VLOOKUP(I44,PL!$A:$S,4,FALSE)</f>
        <v>0</v>
      </c>
      <c r="L44" s="17">
        <f>VLOOKUP(I44,PL!$A:$S,18,FALSE)</f>
        <v>0</v>
      </c>
      <c r="M44" s="18">
        <f t="shared" si="8"/>
        <v>0</v>
      </c>
      <c r="N44" s="19">
        <f t="shared" si="9"/>
        <v>0</v>
      </c>
    </row>
    <row r="45" spans="2:15" x14ac:dyDescent="0.4">
      <c r="B45" s="6" t="s">
        <v>102</v>
      </c>
      <c r="C45" s="20" t="s">
        <v>103</v>
      </c>
      <c r="D45" s="17">
        <f>VLOOKUP(B45,BS!$A:$S,5,FALSE)</f>
        <v>0</v>
      </c>
      <c r="E45" s="17">
        <f>VLOOKUP(B45,BS!$A:$S,18,FALSE)</f>
        <v>0</v>
      </c>
      <c r="F45" s="18">
        <f t="shared" si="0"/>
        <v>0</v>
      </c>
      <c r="G45" s="19">
        <f t="shared" si="1"/>
        <v>0</v>
      </c>
      <c r="I45" s="6" t="s">
        <v>498</v>
      </c>
      <c r="J45" s="20" t="s">
        <v>499</v>
      </c>
      <c r="K45" s="17">
        <f>VLOOKUP(I45,PL!$A:$S,4,FALSE)</f>
        <v>552555875.15999997</v>
      </c>
      <c r="L45" s="17">
        <f>VLOOKUP(I45,PL!$A:$S,18,FALSE)</f>
        <v>233124823.91999999</v>
      </c>
      <c r="M45" s="18">
        <f t="shared" si="8"/>
        <v>-319431051.24000001</v>
      </c>
      <c r="N45" s="19">
        <f t="shared" si="9"/>
        <v>-0.57809728499856139</v>
      </c>
    </row>
    <row r="46" spans="2:15" x14ac:dyDescent="0.4">
      <c r="B46" s="6" t="s">
        <v>104</v>
      </c>
      <c r="C46" s="20" t="s">
        <v>105</v>
      </c>
      <c r="D46" s="17">
        <f>VLOOKUP(B46,BS!$A:$S,5,FALSE)</f>
        <v>0</v>
      </c>
      <c r="E46" s="17">
        <f>VLOOKUP(B46,BS!$A:$S,18,FALSE)</f>
        <v>0</v>
      </c>
      <c r="F46" s="18">
        <f t="shared" si="0"/>
        <v>0</v>
      </c>
      <c r="G46" s="19">
        <f t="shared" si="1"/>
        <v>0</v>
      </c>
      <c r="I46" s="6" t="s">
        <v>500</v>
      </c>
      <c r="J46" s="20" t="s">
        <v>501</v>
      </c>
      <c r="K46" s="17">
        <f>VLOOKUP(I46,PL!$A:$S,4,FALSE)</f>
        <v>0</v>
      </c>
      <c r="L46" s="17">
        <f>VLOOKUP(I46,PL!$A:$S,18,FALSE)</f>
        <v>0</v>
      </c>
      <c r="M46" s="18">
        <f t="shared" si="8"/>
        <v>0</v>
      </c>
      <c r="N46" s="19">
        <f t="shared" si="9"/>
        <v>0</v>
      </c>
      <c r="O46" s="30"/>
    </row>
    <row r="47" spans="2:15" x14ac:dyDescent="0.4">
      <c r="B47" s="6" t="s">
        <v>106</v>
      </c>
      <c r="C47" s="20" t="s">
        <v>107</v>
      </c>
      <c r="D47" s="17">
        <f>VLOOKUP(B47,BS!$A:$S,5,FALSE)</f>
        <v>0</v>
      </c>
      <c r="E47" s="17">
        <f>VLOOKUP(B47,BS!$A:$S,18,FALSE)</f>
        <v>0</v>
      </c>
      <c r="F47" s="18">
        <f t="shared" si="0"/>
        <v>0</v>
      </c>
      <c r="G47" s="19">
        <f t="shared" si="1"/>
        <v>0</v>
      </c>
      <c r="I47" s="6" t="s">
        <v>502</v>
      </c>
      <c r="J47" s="20" t="s">
        <v>503</v>
      </c>
      <c r="K47" s="17">
        <f>VLOOKUP(I47,PL!$A:$S,4,FALSE)</f>
        <v>0</v>
      </c>
      <c r="L47" s="17">
        <f>VLOOKUP(I47,PL!$A:$S,18,FALSE)</f>
        <v>60731143.5</v>
      </c>
      <c r="M47" s="18">
        <f t="shared" si="8"/>
        <v>60731143.5</v>
      </c>
      <c r="N47" s="19">
        <f t="shared" si="9"/>
        <v>0</v>
      </c>
    </row>
    <row r="48" spans="2:15" x14ac:dyDescent="0.4">
      <c r="B48" s="6" t="s">
        <v>108</v>
      </c>
      <c r="C48" s="20" t="s">
        <v>109</v>
      </c>
      <c r="D48" s="17">
        <f>VLOOKUP(B48,BS!$A:$S,5,FALSE)</f>
        <v>0</v>
      </c>
      <c r="E48" s="17">
        <f>VLOOKUP(B48,BS!$A:$S,18,FALSE)</f>
        <v>0</v>
      </c>
      <c r="F48" s="18">
        <f t="shared" si="0"/>
        <v>0</v>
      </c>
      <c r="G48" s="19">
        <f t="shared" si="1"/>
        <v>0</v>
      </c>
      <c r="I48" s="6" t="s">
        <v>504</v>
      </c>
      <c r="J48" s="20" t="s">
        <v>505</v>
      </c>
      <c r="K48" s="17">
        <f>VLOOKUP(I48,PL!$A:$S,4,FALSE)</f>
        <v>0</v>
      </c>
      <c r="L48" s="17">
        <f>VLOOKUP(I48,PL!$A:$S,18,FALSE)</f>
        <v>0</v>
      </c>
      <c r="M48" s="18">
        <f t="shared" si="8"/>
        <v>0</v>
      </c>
      <c r="N48" s="19">
        <f t="shared" si="9"/>
        <v>0</v>
      </c>
    </row>
    <row r="49" spans="2:14" x14ac:dyDescent="0.4">
      <c r="B49" s="6" t="s">
        <v>110</v>
      </c>
      <c r="C49" s="20" t="s">
        <v>111</v>
      </c>
      <c r="D49" s="17">
        <f>VLOOKUP(B49,BS!$A:$S,5,FALSE)</f>
        <v>207885925.91</v>
      </c>
      <c r="E49" s="17">
        <f>VLOOKUP(B49,BS!$A:$S,18,FALSE)</f>
        <v>183630016.06999999</v>
      </c>
      <c r="F49" s="18">
        <f t="shared" si="0"/>
        <v>-24255909.840000004</v>
      </c>
      <c r="G49" s="19">
        <f t="shared" si="1"/>
        <v>-0.11667894175049209</v>
      </c>
      <c r="I49" s="6" t="s">
        <v>506</v>
      </c>
      <c r="J49" s="20" t="s">
        <v>507</v>
      </c>
      <c r="K49" s="17">
        <f>VLOOKUP(I49,PL!$A:$S,4,FALSE)</f>
        <v>30851101.23</v>
      </c>
      <c r="L49" s="17">
        <f>VLOOKUP(I49,PL!$A:$S,18,FALSE)</f>
        <v>15877847.9</v>
      </c>
      <c r="M49" s="18">
        <f t="shared" si="8"/>
        <v>-14973253.33</v>
      </c>
      <c r="N49" s="19">
        <f t="shared" si="9"/>
        <v>-0.48533934715561527</v>
      </c>
    </row>
    <row r="50" spans="2:14" x14ac:dyDescent="0.4">
      <c r="B50" s="6" t="s">
        <v>112</v>
      </c>
      <c r="C50" s="20" t="s">
        <v>113</v>
      </c>
      <c r="D50" s="17">
        <f>VLOOKUP(B50,BS!$A:$S,5,FALSE)</f>
        <v>0</v>
      </c>
      <c r="E50" s="17">
        <f>VLOOKUP(B50,BS!$A:$S,18,FALSE)</f>
        <v>0</v>
      </c>
      <c r="F50" s="18">
        <f t="shared" si="0"/>
        <v>0</v>
      </c>
      <c r="G50" s="19">
        <f t="shared" si="1"/>
        <v>0</v>
      </c>
      <c r="I50" s="6" t="s">
        <v>508</v>
      </c>
      <c r="J50" s="20" t="s">
        <v>509</v>
      </c>
      <c r="K50" s="17">
        <f>VLOOKUP(I50,PL!$A:$S,4,FALSE)</f>
        <v>0</v>
      </c>
      <c r="L50" s="17">
        <f>VLOOKUP(I50,PL!$A:$S,18,FALSE)</f>
        <v>0</v>
      </c>
      <c r="M50" s="18">
        <f t="shared" si="8"/>
        <v>0</v>
      </c>
      <c r="N50" s="19">
        <f t="shared" si="9"/>
        <v>0</v>
      </c>
    </row>
    <row r="51" spans="2:14" x14ac:dyDescent="0.4">
      <c r="B51" s="6" t="s">
        <v>114</v>
      </c>
      <c r="C51" s="20" t="s">
        <v>115</v>
      </c>
      <c r="D51" s="17">
        <f>VLOOKUP(B51,BS!$A:$S,5,FALSE)</f>
        <v>0</v>
      </c>
      <c r="E51" s="17">
        <f>VLOOKUP(B51,BS!$A:$S,18,FALSE)</f>
        <v>-862015011</v>
      </c>
      <c r="F51" s="18">
        <f t="shared" si="0"/>
        <v>-862015011</v>
      </c>
      <c r="G51" s="19">
        <f t="shared" si="1"/>
        <v>0</v>
      </c>
      <c r="I51" s="6" t="s">
        <v>510</v>
      </c>
      <c r="J51" s="20" t="s">
        <v>511</v>
      </c>
      <c r="K51" s="17">
        <f>VLOOKUP(I51,PL!$A:$S,4,FALSE)</f>
        <v>30180332.140000001</v>
      </c>
      <c r="L51" s="17">
        <f>VLOOKUP(I51,PL!$A:$S,18,FALSE)</f>
        <v>40833862.859999999</v>
      </c>
      <c r="M51" s="18">
        <f t="shared" si="8"/>
        <v>10653530.719999999</v>
      </c>
      <c r="N51" s="19">
        <f t="shared" si="9"/>
        <v>0.35299580768629668</v>
      </c>
    </row>
    <row r="52" spans="2:14" x14ac:dyDescent="0.4">
      <c r="B52" s="6" t="s">
        <v>116</v>
      </c>
      <c r="C52" s="20" t="s">
        <v>117</v>
      </c>
      <c r="D52" s="17">
        <f>VLOOKUP(B52,BS!$A:$S,5,FALSE)</f>
        <v>0</v>
      </c>
      <c r="E52" s="17">
        <f>VLOOKUP(B52,BS!$A:$S,18,FALSE)</f>
        <v>0</v>
      </c>
      <c r="F52" s="18">
        <f t="shared" si="0"/>
        <v>0</v>
      </c>
      <c r="G52" s="19">
        <f t="shared" si="1"/>
        <v>0</v>
      </c>
      <c r="I52" s="6" t="s">
        <v>512</v>
      </c>
      <c r="J52" s="20" t="s">
        <v>513</v>
      </c>
      <c r="K52" s="17">
        <f>VLOOKUP(I52,PL!$A:$S,4,FALSE)</f>
        <v>9827783.8000000007</v>
      </c>
      <c r="L52" s="17">
        <f>VLOOKUP(I52,PL!$A:$S,18,FALSE)</f>
        <v>18452723.07</v>
      </c>
      <c r="M52" s="18">
        <f t="shared" si="8"/>
        <v>8624939.2699999996</v>
      </c>
      <c r="N52" s="19">
        <f t="shared" si="9"/>
        <v>0.87760775425279491</v>
      </c>
    </row>
    <row r="53" spans="2:14" x14ac:dyDescent="0.4">
      <c r="B53" s="15" t="s">
        <v>118</v>
      </c>
      <c r="C53" s="16" t="s">
        <v>119</v>
      </c>
      <c r="D53" s="17">
        <f>VLOOKUP(B53,BS!$A:$S,5,FALSE)</f>
        <v>1434322039.6199999</v>
      </c>
      <c r="E53" s="17">
        <f>VLOOKUP(B53,BS!$A:$S,18,FALSE)</f>
        <v>5948086483.1199999</v>
      </c>
      <c r="F53" s="18">
        <f t="shared" si="0"/>
        <v>4513764443.5</v>
      </c>
      <c r="G53" s="19">
        <f t="shared" si="1"/>
        <v>3.1469672213193127</v>
      </c>
      <c r="I53" s="6" t="s">
        <v>514</v>
      </c>
      <c r="J53" s="20" t="s">
        <v>515</v>
      </c>
      <c r="K53" s="17">
        <f>VLOOKUP(I53,PL!$A:$S,4,FALSE)</f>
        <v>1171478.5</v>
      </c>
      <c r="L53" s="17">
        <f>VLOOKUP(I53,PL!$A:$S,18,FALSE)</f>
        <v>1004647.19</v>
      </c>
      <c r="M53" s="18">
        <f t="shared" si="8"/>
        <v>-166831.31000000006</v>
      </c>
      <c r="N53" s="19">
        <f t="shared" si="9"/>
        <v>-0.14241090212069624</v>
      </c>
    </row>
    <row r="54" spans="2:14" x14ac:dyDescent="0.4">
      <c r="B54" s="15" t="s">
        <v>120</v>
      </c>
      <c r="C54" s="16" t="s">
        <v>121</v>
      </c>
      <c r="D54" s="17">
        <f>VLOOKUP(B54,BS!$A:$S,5,FALSE)</f>
        <v>0</v>
      </c>
      <c r="E54" s="17">
        <f>VLOOKUP(B54,BS!$A:$S,18,FALSE)</f>
        <v>0</v>
      </c>
      <c r="F54" s="18">
        <f t="shared" si="0"/>
        <v>0</v>
      </c>
      <c r="G54" s="19">
        <f t="shared" si="1"/>
        <v>0</v>
      </c>
      <c r="I54" s="6" t="s">
        <v>516</v>
      </c>
      <c r="J54" s="20" t="s">
        <v>517</v>
      </c>
      <c r="K54" s="17">
        <f>VLOOKUP(I54,PL!$A:$S,4,FALSE)</f>
        <v>-34114666.5</v>
      </c>
      <c r="L54" s="17">
        <f>VLOOKUP(I54,PL!$A:$S,18,FALSE)</f>
        <v>-34322264.57</v>
      </c>
      <c r="M54" s="18">
        <f t="shared" si="8"/>
        <v>-207598.0700000003</v>
      </c>
      <c r="N54" s="19">
        <f t="shared" si="9"/>
        <v>6.0853026366240546E-3</v>
      </c>
    </row>
    <row r="55" spans="2:14" x14ac:dyDescent="0.4">
      <c r="B55" s="6" t="s">
        <v>122</v>
      </c>
      <c r="C55" s="20" t="s">
        <v>123</v>
      </c>
      <c r="D55" s="17">
        <f>VLOOKUP(B55,BS!$A:$S,5,FALSE)</f>
        <v>0</v>
      </c>
      <c r="E55" s="17">
        <f>VLOOKUP(B55,BS!$A:$S,18,FALSE)</f>
        <v>0</v>
      </c>
      <c r="F55" s="18">
        <f t="shared" si="0"/>
        <v>0</v>
      </c>
      <c r="G55" s="19">
        <f t="shared" si="1"/>
        <v>0</v>
      </c>
      <c r="I55" s="6" t="s">
        <v>518</v>
      </c>
      <c r="J55" s="20" t="s">
        <v>519</v>
      </c>
      <c r="K55" s="17">
        <f>VLOOKUP(I55,PL!$A:$S,4,FALSE)</f>
        <v>18019633.600000001</v>
      </c>
      <c r="L55" s="17">
        <f>VLOOKUP(I55,PL!$A:$S,18,FALSE)</f>
        <v>29232031.739999998</v>
      </c>
      <c r="M55" s="18">
        <f t="shared" si="8"/>
        <v>11212398.139999997</v>
      </c>
      <c r="N55" s="19">
        <f t="shared" si="9"/>
        <v>0.6222323044348691</v>
      </c>
    </row>
    <row r="56" spans="2:14" x14ac:dyDescent="0.4">
      <c r="B56" s="6" t="s">
        <v>124</v>
      </c>
      <c r="C56" s="20" t="s">
        <v>35</v>
      </c>
      <c r="D56" s="17">
        <f>VLOOKUP(B56,BS!$A:$S,5,FALSE)</f>
        <v>0</v>
      </c>
      <c r="E56" s="17">
        <f>VLOOKUP(B56,BS!$A:$S,18,FALSE)</f>
        <v>0</v>
      </c>
      <c r="F56" s="18">
        <f t="shared" si="0"/>
        <v>0</v>
      </c>
      <c r="G56" s="19">
        <f t="shared" si="1"/>
        <v>0</v>
      </c>
      <c r="I56" s="6" t="s">
        <v>520</v>
      </c>
      <c r="J56" s="20" t="s">
        <v>521</v>
      </c>
      <c r="K56" s="17">
        <f>VLOOKUP(I56,PL!$A:$S,4,FALSE)</f>
        <v>93056857.140000001</v>
      </c>
      <c r="L56" s="17">
        <f>VLOOKUP(I56,PL!$A:$S,18,FALSE)</f>
        <v>0</v>
      </c>
      <c r="M56" s="18">
        <f t="shared" si="8"/>
        <v>-93056857.140000001</v>
      </c>
      <c r="N56" s="19">
        <f t="shared" si="9"/>
        <v>-1</v>
      </c>
    </row>
    <row r="57" spans="2:14" x14ac:dyDescent="0.4">
      <c r="B57" s="6" t="s">
        <v>125</v>
      </c>
      <c r="C57" s="20" t="s">
        <v>37</v>
      </c>
      <c r="D57" s="17">
        <f>VLOOKUP(B57,BS!$A:$S,5,FALSE)</f>
        <v>0</v>
      </c>
      <c r="E57" s="17">
        <f>VLOOKUP(B57,BS!$A:$S,18,FALSE)</f>
        <v>0</v>
      </c>
      <c r="F57" s="18">
        <f t="shared" si="0"/>
        <v>0</v>
      </c>
      <c r="G57" s="19">
        <f t="shared" si="1"/>
        <v>0</v>
      </c>
      <c r="I57" s="6" t="s">
        <v>522</v>
      </c>
      <c r="J57" s="20" t="s">
        <v>523</v>
      </c>
      <c r="K57" s="17">
        <f>VLOOKUP(I57,PL!$A:$S,4,FALSE)</f>
        <v>19310215.420000002</v>
      </c>
      <c r="L57" s="17">
        <f>VLOOKUP(I57,PL!$A:$S,18,FALSE)</f>
        <v>9278961.9700000007</v>
      </c>
      <c r="M57" s="18">
        <f t="shared" si="8"/>
        <v>-10031253.450000001</v>
      </c>
      <c r="N57" s="19">
        <f t="shared" si="9"/>
        <v>-0.51947910635996419</v>
      </c>
    </row>
    <row r="58" spans="2:14" x14ac:dyDescent="0.4">
      <c r="B58" s="6" t="s">
        <v>126</v>
      </c>
      <c r="C58" s="20" t="s">
        <v>127</v>
      </c>
      <c r="D58" s="17">
        <f>VLOOKUP(B58,BS!$A:$S,5,FALSE)</f>
        <v>0</v>
      </c>
      <c r="E58" s="17">
        <f>VLOOKUP(B58,BS!$A:$S,18,FALSE)</f>
        <v>0</v>
      </c>
      <c r="F58" s="18">
        <f t="shared" si="0"/>
        <v>0</v>
      </c>
      <c r="G58" s="19">
        <f t="shared" si="1"/>
        <v>0</v>
      </c>
      <c r="I58" s="6" t="s">
        <v>524</v>
      </c>
      <c r="J58" s="20" t="s">
        <v>525</v>
      </c>
      <c r="K58" s="17">
        <f>VLOOKUP(I58,PL!$A:$S,4,FALSE)</f>
        <v>75250483.260000005</v>
      </c>
      <c r="L58" s="17">
        <f>VLOOKUP(I58,PL!$A:$S,18,FALSE)</f>
        <v>88826335.719999999</v>
      </c>
      <c r="M58" s="18">
        <f t="shared" si="8"/>
        <v>13575852.459999993</v>
      </c>
      <c r="N58" s="19">
        <f t="shared" si="9"/>
        <v>0.18040884087207379</v>
      </c>
    </row>
    <row r="59" spans="2:14" x14ac:dyDescent="0.4">
      <c r="B59" s="6" t="s">
        <v>128</v>
      </c>
      <c r="C59" s="20" t="s">
        <v>129</v>
      </c>
      <c r="D59" s="17">
        <f>VLOOKUP(B59,BS!$A:$S,5,FALSE)</f>
        <v>0</v>
      </c>
      <c r="E59" s="17">
        <f>VLOOKUP(B59,BS!$A:$S,18,FALSE)</f>
        <v>0</v>
      </c>
      <c r="F59" s="18">
        <f t="shared" si="0"/>
        <v>0</v>
      </c>
      <c r="G59" s="19">
        <f t="shared" si="1"/>
        <v>0</v>
      </c>
      <c r="I59" s="6" t="s">
        <v>526</v>
      </c>
      <c r="J59" s="20" t="s">
        <v>527</v>
      </c>
      <c r="K59" s="17">
        <f>VLOOKUP(I59,PL!$A:$S,4,FALSE)</f>
        <v>381773652</v>
      </c>
      <c r="L59" s="17">
        <f>VLOOKUP(I59,PL!$A:$S,18,FALSE)</f>
        <v>417096460</v>
      </c>
      <c r="M59" s="18">
        <f t="shared" si="8"/>
        <v>35322808</v>
      </c>
      <c r="N59" s="19">
        <f t="shared" si="9"/>
        <v>9.2522906740562599E-2</v>
      </c>
    </row>
    <row r="60" spans="2:14" x14ac:dyDescent="0.4">
      <c r="B60" s="6" t="s">
        <v>130</v>
      </c>
      <c r="C60" s="20" t="s">
        <v>131</v>
      </c>
      <c r="D60" s="17">
        <f>VLOOKUP(B60,BS!$A:$S,5,FALSE)</f>
        <v>0</v>
      </c>
      <c r="E60" s="17">
        <f>VLOOKUP(B60,BS!$A:$S,18,FALSE)</f>
        <v>0</v>
      </c>
      <c r="F60" s="18">
        <f t="shared" si="0"/>
        <v>0</v>
      </c>
      <c r="G60" s="19">
        <f t="shared" si="1"/>
        <v>0</v>
      </c>
      <c r="I60" s="6" t="s">
        <v>528</v>
      </c>
      <c r="J60" s="20" t="s">
        <v>529</v>
      </c>
      <c r="K60" s="17">
        <f>VLOOKUP(I60,PL!$A:$S,4,FALSE)</f>
        <v>38608.589999999997</v>
      </c>
      <c r="L60" s="17">
        <f>VLOOKUP(I60,PL!$A:$S,18,FALSE)</f>
        <v>2920623.78</v>
      </c>
      <c r="M60" s="18">
        <f t="shared" si="8"/>
        <v>2882015.19</v>
      </c>
      <c r="N60" s="19">
        <f t="shared" si="9"/>
        <v>74.646994101571707</v>
      </c>
    </row>
    <row r="61" spans="2:14" x14ac:dyDescent="0.4">
      <c r="B61" s="6" t="s">
        <v>132</v>
      </c>
      <c r="C61" s="20" t="s">
        <v>133</v>
      </c>
      <c r="D61" s="17">
        <f>VLOOKUP(B61,BS!$A:$S,5,FALSE)</f>
        <v>0</v>
      </c>
      <c r="E61" s="17">
        <f>VLOOKUP(B61,BS!$A:$S,18,FALSE)</f>
        <v>0</v>
      </c>
      <c r="F61" s="18">
        <f t="shared" si="0"/>
        <v>0</v>
      </c>
      <c r="G61" s="19">
        <f t="shared" si="1"/>
        <v>0</v>
      </c>
      <c r="I61" s="6" t="s">
        <v>530</v>
      </c>
      <c r="J61" s="20" t="s">
        <v>531</v>
      </c>
      <c r="K61" s="17">
        <f>VLOOKUP(I61,PL!$A:$S,4,FALSE)</f>
        <v>207896563.03</v>
      </c>
      <c r="L61" s="17">
        <f>VLOOKUP(I61,PL!$A:$S,18,FALSE)</f>
        <v>100188857</v>
      </c>
      <c r="M61" s="18">
        <f t="shared" si="8"/>
        <v>-107707706.03</v>
      </c>
      <c r="N61" s="19">
        <f t="shared" si="9"/>
        <v>-0.51808314894776542</v>
      </c>
    </row>
    <row r="62" spans="2:14" x14ac:dyDescent="0.4">
      <c r="B62" s="6" t="s">
        <v>134</v>
      </c>
      <c r="C62" s="20" t="s">
        <v>135</v>
      </c>
      <c r="D62" s="17">
        <f>VLOOKUP(B62,BS!$A:$S,5,FALSE)</f>
        <v>0</v>
      </c>
      <c r="E62" s="17">
        <f>VLOOKUP(B62,BS!$A:$S,18,FALSE)</f>
        <v>0</v>
      </c>
      <c r="F62" s="18">
        <f t="shared" si="0"/>
        <v>0</v>
      </c>
      <c r="G62" s="19">
        <f t="shared" si="1"/>
        <v>0</v>
      </c>
      <c r="I62" s="6" t="s">
        <v>532</v>
      </c>
      <c r="J62" s="20" t="s">
        <v>533</v>
      </c>
      <c r="K62" s="17">
        <f>VLOOKUP(I62,PL!$A:$S,4,FALSE)</f>
        <v>0</v>
      </c>
      <c r="L62" s="17">
        <f>VLOOKUP(I62,PL!$A:$S,18,FALSE)</f>
        <v>0</v>
      </c>
      <c r="M62" s="18">
        <f t="shared" si="8"/>
        <v>0</v>
      </c>
      <c r="N62" s="19">
        <f t="shared" si="9"/>
        <v>0</v>
      </c>
    </row>
    <row r="63" spans="2:14" x14ac:dyDescent="0.4">
      <c r="B63" s="6" t="s">
        <v>136</v>
      </c>
      <c r="C63" s="20" t="s">
        <v>137</v>
      </c>
      <c r="D63" s="17">
        <f>VLOOKUP(B63,BS!$A:$S,5,FALSE)</f>
        <v>0</v>
      </c>
      <c r="E63" s="17">
        <f>VLOOKUP(B63,BS!$A:$S,18,FALSE)</f>
        <v>0</v>
      </c>
      <c r="F63" s="18">
        <f t="shared" si="0"/>
        <v>0</v>
      </c>
      <c r="G63" s="19">
        <f t="shared" si="1"/>
        <v>0</v>
      </c>
      <c r="I63" s="6" t="s">
        <v>534</v>
      </c>
      <c r="J63" s="20" t="s">
        <v>535</v>
      </c>
      <c r="K63" s="17">
        <f>VLOOKUP(I63,PL!$A:$S,4,FALSE)</f>
        <v>10519067.02</v>
      </c>
      <c r="L63" s="17">
        <f>VLOOKUP(I63,PL!$A:$S,18,FALSE)</f>
        <v>629531.81999999995</v>
      </c>
      <c r="M63" s="18">
        <f t="shared" si="8"/>
        <v>-9889535.1999999993</v>
      </c>
      <c r="N63" s="19">
        <f t="shared" si="9"/>
        <v>-0.94015326465711591</v>
      </c>
    </row>
    <row r="64" spans="2:14" x14ac:dyDescent="0.4">
      <c r="B64" s="6" t="s">
        <v>138</v>
      </c>
      <c r="C64" s="20" t="s">
        <v>139</v>
      </c>
      <c r="D64" s="17">
        <f>VLOOKUP(B64,BS!$A:$S,5,FALSE)</f>
        <v>0</v>
      </c>
      <c r="E64" s="17">
        <f>VLOOKUP(B64,BS!$A:$S,18,FALSE)</f>
        <v>0</v>
      </c>
      <c r="F64" s="18">
        <f t="shared" si="0"/>
        <v>0</v>
      </c>
      <c r="G64" s="19">
        <f t="shared" si="1"/>
        <v>0</v>
      </c>
      <c r="I64" s="6" t="s">
        <v>536</v>
      </c>
      <c r="J64" s="20" t="s">
        <v>537</v>
      </c>
      <c r="K64" s="17">
        <f>VLOOKUP(I64,PL!$A:$S,4,FALSE)</f>
        <v>325381624.44999999</v>
      </c>
      <c r="L64" s="17">
        <f>VLOOKUP(I64,PL!$A:$S,18,FALSE)</f>
        <v>101109801.2</v>
      </c>
      <c r="M64" s="18">
        <f t="shared" si="8"/>
        <v>-224271823.25</v>
      </c>
      <c r="N64" s="19">
        <f t="shared" si="9"/>
        <v>-0.68925780190904085</v>
      </c>
    </row>
    <row r="65" spans="2:14" x14ac:dyDescent="0.4">
      <c r="B65" s="6" t="s">
        <v>140</v>
      </c>
      <c r="C65" s="20" t="s">
        <v>141</v>
      </c>
      <c r="D65" s="17">
        <f>VLOOKUP(B65,BS!$A:$S,5,FALSE)</f>
        <v>0</v>
      </c>
      <c r="E65" s="17">
        <f>VLOOKUP(B65,BS!$A:$S,18,FALSE)</f>
        <v>0</v>
      </c>
      <c r="F65" s="18">
        <f t="shared" si="0"/>
        <v>0</v>
      </c>
      <c r="G65" s="19">
        <f t="shared" si="1"/>
        <v>0</v>
      </c>
      <c r="I65" s="6" t="s">
        <v>538</v>
      </c>
      <c r="J65" s="20" t="s">
        <v>539</v>
      </c>
      <c r="K65" s="17">
        <f>VLOOKUP(I65,PL!$A:$S,4,FALSE)</f>
        <v>0</v>
      </c>
      <c r="L65" s="17">
        <f>VLOOKUP(I65,PL!$A:$S,18,FALSE)</f>
        <v>0</v>
      </c>
      <c r="M65" s="18">
        <f t="shared" si="8"/>
        <v>0</v>
      </c>
      <c r="N65" s="19">
        <f t="shared" si="9"/>
        <v>0</v>
      </c>
    </row>
    <row r="66" spans="2:14" x14ac:dyDescent="0.4">
      <c r="B66" s="6" t="s">
        <v>142</v>
      </c>
      <c r="C66" s="20" t="s">
        <v>143</v>
      </c>
      <c r="D66" s="17">
        <f>VLOOKUP(B66,BS!$A:$S,5,FALSE)</f>
        <v>0</v>
      </c>
      <c r="E66" s="17">
        <f>VLOOKUP(B66,BS!$A:$S,18,FALSE)</f>
        <v>0</v>
      </c>
      <c r="F66" s="18">
        <f t="shared" si="0"/>
        <v>0</v>
      </c>
      <c r="G66" s="19">
        <f t="shared" si="1"/>
        <v>0</v>
      </c>
      <c r="I66" s="6" t="s">
        <v>540</v>
      </c>
      <c r="J66" s="20" t="s">
        <v>541</v>
      </c>
      <c r="K66" s="17">
        <f>VLOOKUP(I66,PL!$A:$S,4,FALSE)</f>
        <v>0</v>
      </c>
      <c r="L66" s="17">
        <f>VLOOKUP(I66,PL!$A:$S,18,FALSE)</f>
        <v>0</v>
      </c>
      <c r="M66" s="18">
        <f t="shared" si="8"/>
        <v>0</v>
      </c>
      <c r="N66" s="19">
        <f t="shared" si="9"/>
        <v>0</v>
      </c>
    </row>
    <row r="67" spans="2:14" x14ac:dyDescent="0.4">
      <c r="B67" s="15" t="s">
        <v>144</v>
      </c>
      <c r="C67" s="16" t="s">
        <v>145</v>
      </c>
      <c r="D67" s="17">
        <f>VLOOKUP(B67,BS!$A:$S,5,FALSE)</f>
        <v>1378830187.5999999</v>
      </c>
      <c r="E67" s="17">
        <f>VLOOKUP(B67,BS!$A:$S,18,FALSE)</f>
        <v>5895515254.8800001</v>
      </c>
      <c r="F67" s="18">
        <f t="shared" si="0"/>
        <v>4516685067.2800007</v>
      </c>
      <c r="G67" s="19">
        <f t="shared" si="1"/>
        <v>3.2757370036565341</v>
      </c>
      <c r="I67" s="6" t="s">
        <v>542</v>
      </c>
      <c r="J67" s="20" t="s">
        <v>543</v>
      </c>
      <c r="K67" s="17">
        <f>VLOOKUP(I67,PL!$A:$S,4,FALSE)</f>
        <v>0</v>
      </c>
      <c r="L67" s="17">
        <f>VLOOKUP(I67,PL!$A:$S,18,FALSE)</f>
        <v>0</v>
      </c>
      <c r="M67" s="18">
        <f t="shared" si="8"/>
        <v>0</v>
      </c>
      <c r="N67" s="19">
        <f t="shared" si="9"/>
        <v>0</v>
      </c>
    </row>
    <row r="68" spans="2:14" x14ac:dyDescent="0.4">
      <c r="B68" s="6" t="s">
        <v>146</v>
      </c>
      <c r="C68" s="20" t="s">
        <v>147</v>
      </c>
      <c r="D68" s="17">
        <f>VLOOKUP(B68,BS!$A:$S,5,FALSE)</f>
        <v>0</v>
      </c>
      <c r="E68" s="17">
        <f>VLOOKUP(B68,BS!$A:$S,18,FALSE)</f>
        <v>0</v>
      </c>
      <c r="F68" s="18">
        <f t="shared" ref="F68:F131" si="12">E68-D68</f>
        <v>0</v>
      </c>
      <c r="G68" s="19">
        <f t="shared" ref="G68:G131" si="13">IFERROR(F68/D68,0)</f>
        <v>0</v>
      </c>
      <c r="I68" s="6" t="s">
        <v>544</v>
      </c>
      <c r="J68" s="20" t="s">
        <v>545</v>
      </c>
      <c r="K68" s="17">
        <f>VLOOKUP(I68,PL!$A:$S,4,FALSE)</f>
        <v>0</v>
      </c>
      <c r="L68" s="17">
        <f>VLOOKUP(I68,PL!$A:$S,18,FALSE)</f>
        <v>0</v>
      </c>
      <c r="M68" s="18">
        <f t="shared" si="8"/>
        <v>0</v>
      </c>
      <c r="N68" s="19">
        <f t="shared" si="9"/>
        <v>0</v>
      </c>
    </row>
    <row r="69" spans="2:14" x14ac:dyDescent="0.4">
      <c r="B69" s="6" t="s">
        <v>148</v>
      </c>
      <c r="C69" s="20" t="s">
        <v>149</v>
      </c>
      <c r="D69" s="17">
        <f>VLOOKUP(B69,BS!$A:$S,5,FALSE)</f>
        <v>0</v>
      </c>
      <c r="E69" s="17">
        <f>VLOOKUP(B69,BS!$A:$S,18,FALSE)</f>
        <v>0</v>
      </c>
      <c r="F69" s="18">
        <f t="shared" si="12"/>
        <v>0</v>
      </c>
      <c r="G69" s="19">
        <f t="shared" si="13"/>
        <v>0</v>
      </c>
      <c r="I69" s="6" t="s">
        <v>546</v>
      </c>
      <c r="J69" s="20" t="s">
        <v>547</v>
      </c>
      <c r="K69" s="17">
        <f>VLOOKUP(I69,PL!$A:$S,4,FALSE)</f>
        <v>467955853.92000002</v>
      </c>
      <c r="L69" s="17">
        <f>VLOOKUP(I69,PL!$A:$S,18,FALSE)</f>
        <v>44273847</v>
      </c>
      <c r="M69" s="18">
        <f t="shared" si="8"/>
        <v>-423682006.92000002</v>
      </c>
      <c r="N69" s="19">
        <f t="shared" si="9"/>
        <v>-0.90538883822240013</v>
      </c>
    </row>
    <row r="70" spans="2:14" x14ac:dyDescent="0.4">
      <c r="B70" s="6" t="s">
        <v>150</v>
      </c>
      <c r="C70" s="20" t="s">
        <v>151</v>
      </c>
      <c r="D70" s="17">
        <f>VLOOKUP(B70,BS!$A:$S,5,FALSE)</f>
        <v>0</v>
      </c>
      <c r="E70" s="17">
        <f>VLOOKUP(B70,BS!$A:$S,18,FALSE)</f>
        <v>0</v>
      </c>
      <c r="F70" s="18">
        <f t="shared" si="12"/>
        <v>0</v>
      </c>
      <c r="G70" s="19">
        <f t="shared" si="13"/>
        <v>0</v>
      </c>
      <c r="I70" s="6" t="s">
        <v>548</v>
      </c>
      <c r="J70" s="20" t="s">
        <v>549</v>
      </c>
      <c r="K70" s="17">
        <f>VLOOKUP(I70,PL!$A:$S,4,FALSE)</f>
        <v>0</v>
      </c>
      <c r="L70" s="17">
        <f>VLOOKUP(I70,PL!$A:$S,18,FALSE)</f>
        <v>0</v>
      </c>
      <c r="M70" s="18">
        <f t="shared" si="8"/>
        <v>0</v>
      </c>
      <c r="N70" s="19">
        <f t="shared" si="9"/>
        <v>0</v>
      </c>
    </row>
    <row r="71" spans="2:14" x14ac:dyDescent="0.4">
      <c r="B71" s="6" t="s">
        <v>152</v>
      </c>
      <c r="C71" s="20" t="s">
        <v>153</v>
      </c>
      <c r="D71" s="17">
        <f>VLOOKUP(B71,BS!$A:$S,5,FALSE)</f>
        <v>0</v>
      </c>
      <c r="E71" s="17">
        <f>VLOOKUP(B71,BS!$A:$S,18,FALSE)</f>
        <v>0</v>
      </c>
      <c r="F71" s="18">
        <f t="shared" si="12"/>
        <v>0</v>
      </c>
      <c r="G71" s="19">
        <f t="shared" si="13"/>
        <v>0</v>
      </c>
      <c r="I71" s="6" t="s">
        <v>550</v>
      </c>
      <c r="J71" s="20" t="s">
        <v>551</v>
      </c>
      <c r="K71" s="17">
        <f>VLOOKUP(I71,PL!$A:$S,4,FALSE)</f>
        <v>0</v>
      </c>
      <c r="L71" s="17">
        <f>VLOOKUP(I71,PL!$A:$S,18,FALSE)</f>
        <v>0</v>
      </c>
      <c r="M71" s="18">
        <f t="shared" ref="M71:M103" si="14">L71-K71</f>
        <v>0</v>
      </c>
      <c r="N71" s="19">
        <f t="shared" ref="N71:N103" si="15">IFERROR(M71/K71,0)</f>
        <v>0</v>
      </c>
    </row>
    <row r="72" spans="2:14" x14ac:dyDescent="0.4">
      <c r="B72" s="6" t="s">
        <v>154</v>
      </c>
      <c r="C72" s="20" t="s">
        <v>155</v>
      </c>
      <c r="D72" s="17">
        <f>VLOOKUP(B72,BS!$A:$S,5,FALSE)</f>
        <v>0</v>
      </c>
      <c r="E72" s="17">
        <f>VLOOKUP(B72,BS!$A:$S,18,FALSE)</f>
        <v>0</v>
      </c>
      <c r="F72" s="18">
        <f t="shared" si="12"/>
        <v>0</v>
      </c>
      <c r="G72" s="19">
        <f t="shared" si="13"/>
        <v>0</v>
      </c>
      <c r="I72" s="6" t="s">
        <v>552</v>
      </c>
      <c r="J72" s="20" t="s">
        <v>553</v>
      </c>
      <c r="K72" s="17">
        <f>VLOOKUP(I72,PL!$A:$S,4,FALSE)</f>
        <v>496077.93</v>
      </c>
      <c r="L72" s="17">
        <f>VLOOKUP(I72,PL!$A:$S,18,FALSE)</f>
        <v>102997</v>
      </c>
      <c r="M72" s="18">
        <f t="shared" si="14"/>
        <v>-393080.93</v>
      </c>
      <c r="N72" s="19">
        <f t="shared" si="15"/>
        <v>-0.79237737909444994</v>
      </c>
    </row>
    <row r="73" spans="2:14" x14ac:dyDescent="0.4">
      <c r="B73" s="6" t="s">
        <v>156</v>
      </c>
      <c r="C73" s="20" t="s">
        <v>157</v>
      </c>
      <c r="D73" s="17">
        <f>VLOOKUP(B73,BS!$A:$S,5,FALSE)</f>
        <v>0</v>
      </c>
      <c r="E73" s="17">
        <f>VLOOKUP(B73,BS!$A:$S,18,FALSE)</f>
        <v>0</v>
      </c>
      <c r="F73" s="18">
        <f t="shared" si="12"/>
        <v>0</v>
      </c>
      <c r="G73" s="19">
        <f t="shared" si="13"/>
        <v>0</v>
      </c>
      <c r="I73" s="6" t="s">
        <v>554</v>
      </c>
      <c r="J73" s="20" t="s">
        <v>555</v>
      </c>
      <c r="K73" s="17">
        <f>VLOOKUP(I73,PL!$A:$S,4,FALSE)</f>
        <v>0</v>
      </c>
      <c r="L73" s="17">
        <f>VLOOKUP(I73,PL!$A:$S,18,FALSE)</f>
        <v>0</v>
      </c>
      <c r="M73" s="18">
        <f t="shared" si="14"/>
        <v>0</v>
      </c>
      <c r="N73" s="19">
        <f t="shared" si="15"/>
        <v>0</v>
      </c>
    </row>
    <row r="74" spans="2:14" x14ac:dyDescent="0.4">
      <c r="B74" s="6" t="s">
        <v>158</v>
      </c>
      <c r="C74" s="20" t="s">
        <v>159</v>
      </c>
      <c r="D74" s="17">
        <f>VLOOKUP(B74,BS!$A:$S,5,FALSE)</f>
        <v>0</v>
      </c>
      <c r="E74" s="17">
        <f>VLOOKUP(B74,BS!$A:$S,18,FALSE)</f>
        <v>0</v>
      </c>
      <c r="F74" s="18">
        <f t="shared" si="12"/>
        <v>0</v>
      </c>
      <c r="G74" s="19">
        <f t="shared" si="13"/>
        <v>0</v>
      </c>
      <c r="I74" s="6" t="s">
        <v>556</v>
      </c>
      <c r="J74" s="20" t="s">
        <v>557</v>
      </c>
      <c r="K74" s="17">
        <f>VLOOKUP(I74,PL!$A:$S,4,FALSE)</f>
        <v>0</v>
      </c>
      <c r="L74" s="17">
        <f>VLOOKUP(I74,PL!$A:$S,18,FALSE)</f>
        <v>0</v>
      </c>
      <c r="M74" s="18">
        <f t="shared" ref="M74" si="16">L74-K74</f>
        <v>0</v>
      </c>
      <c r="N74" s="19">
        <f t="shared" ref="N74" si="17">IFERROR(M74/K74,0)</f>
        <v>0</v>
      </c>
    </row>
    <row r="75" spans="2:14" x14ac:dyDescent="0.4">
      <c r="B75" s="6" t="s">
        <v>160</v>
      </c>
      <c r="C75" s="20" t="s">
        <v>161</v>
      </c>
      <c r="D75" s="17">
        <f>VLOOKUP(B75,BS!$A:$S,5,FALSE)</f>
        <v>0</v>
      </c>
      <c r="E75" s="17">
        <f>VLOOKUP(B75,BS!$A:$S,18,FALSE)</f>
        <v>0</v>
      </c>
      <c r="F75" s="18">
        <f t="shared" si="12"/>
        <v>0</v>
      </c>
      <c r="G75" s="19">
        <f t="shared" si="13"/>
        <v>0</v>
      </c>
      <c r="I75" s="6" t="s">
        <v>723</v>
      </c>
      <c r="J75" s="20" t="s">
        <v>724</v>
      </c>
      <c r="K75" s="17">
        <f>VLOOKUP(I75,PL!$A:$S,4,FALSE)</f>
        <v>0</v>
      </c>
      <c r="L75" s="17">
        <f>VLOOKUP(I75,PL!$A:$S,18,FALSE)</f>
        <v>0</v>
      </c>
      <c r="M75" s="18">
        <f t="shared" si="14"/>
        <v>0</v>
      </c>
      <c r="N75" s="19">
        <f t="shared" si="15"/>
        <v>0</v>
      </c>
    </row>
    <row r="76" spans="2:14" x14ac:dyDescent="0.4">
      <c r="B76" s="6" t="s">
        <v>162</v>
      </c>
      <c r="C76" s="20" t="s">
        <v>163</v>
      </c>
      <c r="D76" s="17">
        <f>VLOOKUP(B76,BS!$A:$S,5,FALSE)</f>
        <v>0</v>
      </c>
      <c r="E76" s="17">
        <f>VLOOKUP(B76,BS!$A:$S,18,FALSE)</f>
        <v>0</v>
      </c>
      <c r="F76" s="18">
        <f t="shared" si="12"/>
        <v>0</v>
      </c>
      <c r="G76" s="19">
        <f t="shared" si="13"/>
        <v>0</v>
      </c>
      <c r="I76" s="15" t="s">
        <v>558</v>
      </c>
      <c r="J76" s="16" t="s">
        <v>559</v>
      </c>
      <c r="K76" s="17">
        <f>VLOOKUP(I76,PL!$A:$S,4,FALSE)</f>
        <v>-2216366690.8299999</v>
      </c>
      <c r="L76" s="17">
        <f>VLOOKUP(I76,PL!$A:$S,18,FALSE)</f>
        <v>11106070.310000001</v>
      </c>
      <c r="M76" s="18">
        <f t="shared" si="14"/>
        <v>2227472761.1399999</v>
      </c>
      <c r="N76" s="19">
        <f t="shared" si="15"/>
        <v>-1.005010935399792</v>
      </c>
    </row>
    <row r="77" spans="2:14" x14ac:dyDescent="0.4">
      <c r="B77" s="6" t="s">
        <v>164</v>
      </c>
      <c r="C77" s="20" t="s">
        <v>165</v>
      </c>
      <c r="D77" s="17">
        <f>VLOOKUP(B77,BS!$A:$S,5,FALSE)</f>
        <v>0</v>
      </c>
      <c r="E77" s="17">
        <f>VLOOKUP(B77,BS!$A:$S,18,FALSE)</f>
        <v>0</v>
      </c>
      <c r="F77" s="18">
        <f t="shared" si="12"/>
        <v>0</v>
      </c>
      <c r="G77" s="19">
        <f t="shared" si="13"/>
        <v>0</v>
      </c>
      <c r="I77" s="15" t="s">
        <v>560</v>
      </c>
      <c r="J77" s="16" t="s">
        <v>561</v>
      </c>
      <c r="K77" s="17">
        <f>VLOOKUP(I77,PL!$A:$S,4,FALSE)</f>
        <v>1156637031.45</v>
      </c>
      <c r="L77" s="17">
        <f>VLOOKUP(I77,PL!$A:$S,18,FALSE)</f>
        <v>1276324109.47</v>
      </c>
      <c r="M77" s="18">
        <f t="shared" si="14"/>
        <v>119687078.01999998</v>
      </c>
      <c r="N77" s="19">
        <f t="shared" si="15"/>
        <v>0.10347851120585007</v>
      </c>
    </row>
    <row r="78" spans="2:14" x14ac:dyDescent="0.4">
      <c r="B78" s="6" t="s">
        <v>166</v>
      </c>
      <c r="C78" s="20" t="s">
        <v>167</v>
      </c>
      <c r="D78" s="17">
        <f>VLOOKUP(B78,BS!$A:$S,5,FALSE)</f>
        <v>571096500</v>
      </c>
      <c r="E78" s="17">
        <f>VLOOKUP(B78,BS!$A:$S,18,FALSE)</f>
        <v>571096500</v>
      </c>
      <c r="F78" s="18">
        <f t="shared" si="12"/>
        <v>0</v>
      </c>
      <c r="G78" s="19">
        <f t="shared" si="13"/>
        <v>0</v>
      </c>
      <c r="I78" s="6" t="s">
        <v>562</v>
      </c>
      <c r="J78" s="20" t="s">
        <v>563</v>
      </c>
      <c r="K78" s="17">
        <f>VLOOKUP(I78,PL!$A:$S,4,FALSE)</f>
        <v>0</v>
      </c>
      <c r="L78" s="17">
        <f>VLOOKUP(I78,PL!$A:$S,18,FALSE)</f>
        <v>0</v>
      </c>
      <c r="M78" s="18">
        <f t="shared" si="14"/>
        <v>0</v>
      </c>
      <c r="N78" s="19">
        <f t="shared" si="15"/>
        <v>0</v>
      </c>
    </row>
    <row r="79" spans="2:14" x14ac:dyDescent="0.4">
      <c r="B79" s="6" t="s">
        <v>168</v>
      </c>
      <c r="C79" s="20" t="s">
        <v>169</v>
      </c>
      <c r="D79" s="17">
        <f>VLOOKUP(B79,BS!$A:$S,5,FALSE)</f>
        <v>-307343466.80000001</v>
      </c>
      <c r="E79" s="17">
        <f>VLOOKUP(B79,BS!$A:$S,18,FALSE)</f>
        <v>-337737973.94</v>
      </c>
      <c r="F79" s="18">
        <f t="shared" si="12"/>
        <v>-30394507.139999986</v>
      </c>
      <c r="G79" s="19">
        <f t="shared" si="13"/>
        <v>9.8894267890128396E-2</v>
      </c>
      <c r="I79" s="6" t="s">
        <v>564</v>
      </c>
      <c r="J79" s="20" t="s">
        <v>565</v>
      </c>
      <c r="K79" s="17">
        <f>VLOOKUP(I79,PL!$A:$S,4,FALSE)</f>
        <v>0</v>
      </c>
      <c r="L79" s="17">
        <f>VLOOKUP(I79,PL!$A:$S,18,FALSE)</f>
        <v>0</v>
      </c>
      <c r="M79" s="18">
        <f t="shared" si="14"/>
        <v>0</v>
      </c>
      <c r="N79" s="19">
        <f t="shared" si="15"/>
        <v>0</v>
      </c>
    </row>
    <row r="80" spans="2:14" x14ac:dyDescent="0.4">
      <c r="B80" s="6" t="s">
        <v>170</v>
      </c>
      <c r="C80" s="20" t="s">
        <v>171</v>
      </c>
      <c r="D80" s="17">
        <f>VLOOKUP(B80,BS!$A:$S,5,FALSE)</f>
        <v>0</v>
      </c>
      <c r="E80" s="17">
        <f>VLOOKUP(B80,BS!$A:$S,18,FALSE)</f>
        <v>0</v>
      </c>
      <c r="F80" s="18">
        <f t="shared" si="12"/>
        <v>0</v>
      </c>
      <c r="G80" s="19">
        <f t="shared" si="13"/>
        <v>0</v>
      </c>
      <c r="I80" s="6" t="s">
        <v>566</v>
      </c>
      <c r="J80" s="20" t="s">
        <v>567</v>
      </c>
      <c r="K80" s="17">
        <f>VLOOKUP(I80,PL!$A:$S,4,FALSE)</f>
        <v>0</v>
      </c>
      <c r="L80" s="17">
        <f>VLOOKUP(I80,PL!$A:$S,18,FALSE)</f>
        <v>0</v>
      </c>
      <c r="M80" s="18">
        <f t="shared" si="14"/>
        <v>0</v>
      </c>
      <c r="N80" s="19">
        <f t="shared" si="15"/>
        <v>0</v>
      </c>
    </row>
    <row r="81" spans="2:14" x14ac:dyDescent="0.4">
      <c r="B81" s="6" t="s">
        <v>172</v>
      </c>
      <c r="C81" s="20" t="s">
        <v>173</v>
      </c>
      <c r="D81" s="17">
        <f>VLOOKUP(B81,BS!$A:$S,5,FALSE)</f>
        <v>0</v>
      </c>
      <c r="E81" s="17">
        <f>VLOOKUP(B81,BS!$A:$S,18,FALSE)</f>
        <v>0</v>
      </c>
      <c r="F81" s="18">
        <f t="shared" si="12"/>
        <v>0</v>
      </c>
      <c r="G81" s="19">
        <f t="shared" si="13"/>
        <v>0</v>
      </c>
      <c r="I81" s="6" t="s">
        <v>568</v>
      </c>
      <c r="J81" s="20" t="s">
        <v>569</v>
      </c>
      <c r="K81" s="17">
        <f>VLOOKUP(I81,PL!$A:$S,4,FALSE)</f>
        <v>0</v>
      </c>
      <c r="L81" s="17">
        <f>VLOOKUP(I81,PL!$A:$S,18,FALSE)</f>
        <v>0</v>
      </c>
      <c r="M81" s="18">
        <f t="shared" si="14"/>
        <v>0</v>
      </c>
      <c r="N81" s="19">
        <f t="shared" si="15"/>
        <v>0</v>
      </c>
    </row>
    <row r="82" spans="2:14" x14ac:dyDescent="0.4">
      <c r="B82" s="6" t="s">
        <v>174</v>
      </c>
      <c r="C82" s="20" t="s">
        <v>175</v>
      </c>
      <c r="D82" s="17">
        <f>VLOOKUP(B82,BS!$A:$S,5,FALSE)</f>
        <v>0</v>
      </c>
      <c r="E82" s="17">
        <f>VLOOKUP(B82,BS!$A:$S,18,FALSE)</f>
        <v>0</v>
      </c>
      <c r="F82" s="18">
        <f t="shared" si="12"/>
        <v>0</v>
      </c>
      <c r="G82" s="19">
        <f t="shared" si="13"/>
        <v>0</v>
      </c>
      <c r="I82" s="6" t="s">
        <v>570</v>
      </c>
      <c r="J82" s="20" t="s">
        <v>571</v>
      </c>
      <c r="K82" s="17">
        <f>VLOOKUP(I82,PL!$A:$S,4,FALSE)</f>
        <v>698637446.33000004</v>
      </c>
      <c r="L82" s="17">
        <f>VLOOKUP(I82,PL!$A:$S,18,FALSE)</f>
        <v>1276324109.47</v>
      </c>
      <c r="M82" s="18">
        <f t="shared" si="14"/>
        <v>577686663.13999999</v>
      </c>
      <c r="N82" s="19">
        <f t="shared" si="15"/>
        <v>0.82687618044900901</v>
      </c>
    </row>
    <row r="83" spans="2:14" x14ac:dyDescent="0.4">
      <c r="B83" s="6" t="s">
        <v>176</v>
      </c>
      <c r="C83" s="20" t="s">
        <v>177</v>
      </c>
      <c r="D83" s="17">
        <f>VLOOKUP(B83,BS!$A:$S,5,FALSE)</f>
        <v>1318195671.78</v>
      </c>
      <c r="E83" s="17">
        <f>VLOOKUP(B83,BS!$A:$S,18,FALSE)</f>
        <v>1365905046.78</v>
      </c>
      <c r="F83" s="18">
        <f t="shared" si="12"/>
        <v>47709375</v>
      </c>
      <c r="G83" s="19">
        <f t="shared" si="13"/>
        <v>3.6192938591261319E-2</v>
      </c>
      <c r="I83" s="6" t="s">
        <v>572</v>
      </c>
      <c r="J83" s="20" t="s">
        <v>573</v>
      </c>
      <c r="K83" s="17">
        <f>VLOOKUP(I83,PL!$A:$S,4,FALSE)</f>
        <v>0</v>
      </c>
      <c r="L83" s="17">
        <f>VLOOKUP(I83,PL!$A:$S,18,FALSE)</f>
        <v>0</v>
      </c>
      <c r="M83" s="18">
        <f t="shared" si="14"/>
        <v>0</v>
      </c>
      <c r="N83" s="19">
        <f t="shared" si="15"/>
        <v>0</v>
      </c>
    </row>
    <row r="84" spans="2:14" x14ac:dyDescent="0.4">
      <c r="B84" s="6" t="s">
        <v>178</v>
      </c>
      <c r="C84" s="20" t="s">
        <v>179</v>
      </c>
      <c r="D84" s="17">
        <f>VLOOKUP(B84,BS!$A:$S,5,FALSE)</f>
        <v>-729272348.38</v>
      </c>
      <c r="E84" s="17">
        <f>VLOOKUP(B84,BS!$A:$S,18,FALSE)</f>
        <v>-787704176.96000004</v>
      </c>
      <c r="F84" s="18">
        <f t="shared" si="12"/>
        <v>-58431828.580000043</v>
      </c>
      <c r="G84" s="19">
        <f t="shared" si="13"/>
        <v>8.0123466507128732E-2</v>
      </c>
      <c r="I84" s="6" t="s">
        <v>574</v>
      </c>
      <c r="J84" s="20" t="s">
        <v>575</v>
      </c>
      <c r="K84" s="17">
        <f>VLOOKUP(I84,PL!$A:$S,4,FALSE)</f>
        <v>0</v>
      </c>
      <c r="L84" s="17">
        <f>VLOOKUP(I84,PL!$A:$S,18,FALSE)</f>
        <v>0</v>
      </c>
      <c r="M84" s="18">
        <f t="shared" si="14"/>
        <v>0</v>
      </c>
      <c r="N84" s="19">
        <f t="shared" si="15"/>
        <v>0</v>
      </c>
    </row>
    <row r="85" spans="2:14" x14ac:dyDescent="0.4">
      <c r="B85" s="6" t="s">
        <v>180</v>
      </c>
      <c r="C85" s="20" t="s">
        <v>181</v>
      </c>
      <c r="D85" s="17">
        <f>VLOOKUP(B85,BS!$A:$S,5,FALSE)</f>
        <v>0</v>
      </c>
      <c r="E85" s="17">
        <f>VLOOKUP(B85,BS!$A:$S,18,FALSE)</f>
        <v>0</v>
      </c>
      <c r="F85" s="18">
        <f t="shared" si="12"/>
        <v>0</v>
      </c>
      <c r="G85" s="19">
        <f t="shared" si="13"/>
        <v>0</v>
      </c>
      <c r="I85" s="6" t="s">
        <v>576</v>
      </c>
      <c r="J85" s="20" t="s">
        <v>577</v>
      </c>
      <c r="K85" s="17">
        <f>VLOOKUP(I85,PL!$A:$S,4,FALSE)</f>
        <v>0</v>
      </c>
      <c r="L85" s="17">
        <f>VLOOKUP(I85,PL!$A:$S,18,FALSE)</f>
        <v>0</v>
      </c>
      <c r="M85" s="18">
        <f t="shared" si="14"/>
        <v>0</v>
      </c>
      <c r="N85" s="19">
        <f t="shared" si="15"/>
        <v>0</v>
      </c>
    </row>
    <row r="86" spans="2:14" x14ac:dyDescent="0.4">
      <c r="B86" s="6" t="s">
        <v>182</v>
      </c>
      <c r="C86" s="20" t="s">
        <v>183</v>
      </c>
      <c r="D86" s="17">
        <f>VLOOKUP(B86,BS!$A:$S,5,FALSE)</f>
        <v>0</v>
      </c>
      <c r="E86" s="17">
        <f>VLOOKUP(B86,BS!$A:$S,18,FALSE)</f>
        <v>0</v>
      </c>
      <c r="F86" s="18">
        <f t="shared" si="12"/>
        <v>0</v>
      </c>
      <c r="G86" s="19">
        <f t="shared" si="13"/>
        <v>0</v>
      </c>
      <c r="I86" s="6" t="s">
        <v>578</v>
      </c>
      <c r="J86" s="20" t="s">
        <v>579</v>
      </c>
      <c r="K86" s="17">
        <f>VLOOKUP(I86,PL!$A:$S,4,FALSE)</f>
        <v>0</v>
      </c>
      <c r="L86" s="17">
        <f>VLOOKUP(I86,PL!$A:$S,18,FALSE)</f>
        <v>0</v>
      </c>
      <c r="M86" s="18">
        <f t="shared" si="14"/>
        <v>0</v>
      </c>
      <c r="N86" s="19">
        <f t="shared" si="15"/>
        <v>0</v>
      </c>
    </row>
    <row r="87" spans="2:14" x14ac:dyDescent="0.4">
      <c r="B87" s="6" t="s">
        <v>184</v>
      </c>
      <c r="C87" s="20" t="s">
        <v>185</v>
      </c>
      <c r="D87" s="17">
        <f>VLOOKUP(B87,BS!$A:$S,5,FALSE)</f>
        <v>0</v>
      </c>
      <c r="E87" s="17">
        <f>VLOOKUP(B87,BS!$A:$S,18,FALSE)</f>
        <v>0</v>
      </c>
      <c r="F87" s="18">
        <f t="shared" si="12"/>
        <v>0</v>
      </c>
      <c r="G87" s="19">
        <f t="shared" si="13"/>
        <v>0</v>
      </c>
      <c r="I87" s="6" t="s">
        <v>580</v>
      </c>
      <c r="J87" s="20" t="s">
        <v>581</v>
      </c>
      <c r="K87" s="17">
        <f>VLOOKUP(I87,PL!$A:$S,4,FALSE)</f>
        <v>0</v>
      </c>
      <c r="L87" s="17">
        <f>VLOOKUP(I87,PL!$A:$S,18,FALSE)</f>
        <v>0</v>
      </c>
      <c r="M87" s="18">
        <f t="shared" si="14"/>
        <v>0</v>
      </c>
      <c r="N87" s="19">
        <f t="shared" si="15"/>
        <v>0</v>
      </c>
    </row>
    <row r="88" spans="2:14" x14ac:dyDescent="0.4">
      <c r="B88" s="6" t="s">
        <v>186</v>
      </c>
      <c r="C88" s="20" t="s">
        <v>187</v>
      </c>
      <c r="D88" s="17">
        <f>VLOOKUP(B88,BS!$A:$S,5,FALSE)</f>
        <v>0</v>
      </c>
      <c r="E88" s="17">
        <f>VLOOKUP(B88,BS!$A:$S,18,FALSE)</f>
        <v>0</v>
      </c>
      <c r="F88" s="18">
        <f t="shared" si="12"/>
        <v>0</v>
      </c>
      <c r="G88" s="19">
        <f t="shared" si="13"/>
        <v>0</v>
      </c>
      <c r="I88" s="6" t="s">
        <v>582</v>
      </c>
      <c r="J88" s="20" t="s">
        <v>583</v>
      </c>
      <c r="K88" s="17">
        <f>VLOOKUP(I88,PL!$A:$S,4,FALSE)</f>
        <v>0</v>
      </c>
      <c r="L88" s="17">
        <f>VLOOKUP(I88,PL!$A:$S,18,FALSE)</f>
        <v>0</v>
      </c>
      <c r="M88" s="18">
        <f t="shared" si="14"/>
        <v>0</v>
      </c>
      <c r="N88" s="19">
        <f t="shared" si="15"/>
        <v>0</v>
      </c>
    </row>
    <row r="89" spans="2:14" x14ac:dyDescent="0.4">
      <c r="B89" s="6" t="s">
        <v>188</v>
      </c>
      <c r="C89" s="20" t="s">
        <v>189</v>
      </c>
      <c r="D89" s="17">
        <f>VLOOKUP(B89,BS!$A:$S,5,FALSE)</f>
        <v>0</v>
      </c>
      <c r="E89" s="17">
        <f>VLOOKUP(B89,BS!$A:$S,18,FALSE)</f>
        <v>0</v>
      </c>
      <c r="F89" s="18">
        <f t="shared" si="12"/>
        <v>0</v>
      </c>
      <c r="G89" s="19">
        <f t="shared" si="13"/>
        <v>0</v>
      </c>
      <c r="I89" s="6" t="s">
        <v>584</v>
      </c>
      <c r="J89" s="20" t="s">
        <v>585</v>
      </c>
      <c r="K89" s="17">
        <f>VLOOKUP(I89,PL!$A:$S,4,FALSE)</f>
        <v>0</v>
      </c>
      <c r="L89" s="17">
        <f>VLOOKUP(I89,PL!$A:$S,18,FALSE)</f>
        <v>0</v>
      </c>
      <c r="M89" s="18">
        <f t="shared" si="14"/>
        <v>0</v>
      </c>
      <c r="N89" s="19">
        <f t="shared" si="15"/>
        <v>0</v>
      </c>
    </row>
    <row r="90" spans="2:14" x14ac:dyDescent="0.4">
      <c r="B90" s="6" t="s">
        <v>190</v>
      </c>
      <c r="C90" s="20" t="s">
        <v>191</v>
      </c>
      <c r="D90" s="17">
        <f>VLOOKUP(B90,BS!$A:$S,5,FALSE)</f>
        <v>0</v>
      </c>
      <c r="E90" s="17">
        <f>VLOOKUP(B90,BS!$A:$S,18,FALSE)</f>
        <v>0</v>
      </c>
      <c r="F90" s="18">
        <f t="shared" si="12"/>
        <v>0</v>
      </c>
      <c r="G90" s="19">
        <f t="shared" si="13"/>
        <v>0</v>
      </c>
      <c r="I90" s="6" t="s">
        <v>586</v>
      </c>
      <c r="J90" s="20" t="s">
        <v>587</v>
      </c>
      <c r="K90" s="17">
        <f>VLOOKUP(I90,PL!$A:$S,4,FALSE)</f>
        <v>0</v>
      </c>
      <c r="L90" s="17">
        <f>VLOOKUP(I90,PL!$A:$S,18,FALSE)</f>
        <v>0</v>
      </c>
      <c r="M90" s="18">
        <f t="shared" si="14"/>
        <v>0</v>
      </c>
      <c r="N90" s="19">
        <f t="shared" si="15"/>
        <v>0</v>
      </c>
    </row>
    <row r="91" spans="2:14" x14ac:dyDescent="0.4">
      <c r="B91" s="6" t="s">
        <v>192</v>
      </c>
      <c r="C91" s="20" t="s">
        <v>193</v>
      </c>
      <c r="D91" s="17">
        <f>VLOOKUP(B91,BS!$A:$S,5,FALSE)</f>
        <v>0</v>
      </c>
      <c r="E91" s="17">
        <f>VLOOKUP(B91,BS!$A:$S,18,FALSE)</f>
        <v>0</v>
      </c>
      <c r="F91" s="18">
        <f t="shared" si="12"/>
        <v>0</v>
      </c>
      <c r="G91" s="19">
        <f t="shared" si="13"/>
        <v>0</v>
      </c>
      <c r="I91" s="6" t="s">
        <v>588</v>
      </c>
      <c r="J91" s="20" t="s">
        <v>589</v>
      </c>
      <c r="K91" s="17">
        <f>VLOOKUP(I91,PL!$A:$S,4,FALSE)</f>
        <v>0</v>
      </c>
      <c r="L91" s="17">
        <f>VLOOKUP(I91,PL!$A:$S,18,FALSE)</f>
        <v>0</v>
      </c>
      <c r="M91" s="18">
        <f t="shared" si="14"/>
        <v>0</v>
      </c>
      <c r="N91" s="19">
        <f t="shared" si="15"/>
        <v>0</v>
      </c>
    </row>
    <row r="92" spans="2:14" x14ac:dyDescent="0.4">
      <c r="B92" s="6" t="s">
        <v>194</v>
      </c>
      <c r="C92" s="20" t="s">
        <v>195</v>
      </c>
      <c r="D92" s="17">
        <f>VLOOKUP(B92,BS!$A:$S,5,FALSE)</f>
        <v>0</v>
      </c>
      <c r="E92" s="17">
        <f>VLOOKUP(B92,BS!$A:$S,18,FALSE)</f>
        <v>0</v>
      </c>
      <c r="F92" s="18">
        <f t="shared" si="12"/>
        <v>0</v>
      </c>
      <c r="G92" s="19">
        <f t="shared" si="13"/>
        <v>0</v>
      </c>
      <c r="I92" s="6" t="s">
        <v>590</v>
      </c>
      <c r="J92" s="20" t="s">
        <v>591</v>
      </c>
      <c r="K92" s="17">
        <f>VLOOKUP(I92,PL!$A:$S,4,FALSE)</f>
        <v>0</v>
      </c>
      <c r="L92" s="17">
        <f>VLOOKUP(I92,PL!$A:$S,18,FALSE)</f>
        <v>0</v>
      </c>
      <c r="M92" s="18">
        <f t="shared" si="14"/>
        <v>0</v>
      </c>
      <c r="N92" s="19">
        <f t="shared" si="15"/>
        <v>0</v>
      </c>
    </row>
    <row r="93" spans="2:14" x14ac:dyDescent="0.4">
      <c r="B93" s="6" t="s">
        <v>196</v>
      </c>
      <c r="C93" s="20" t="s">
        <v>197</v>
      </c>
      <c r="D93" s="17">
        <f>VLOOKUP(B93,BS!$A:$S,5,FALSE)</f>
        <v>0</v>
      </c>
      <c r="E93" s="17">
        <f>VLOOKUP(B93,BS!$A:$S,18,FALSE)</f>
        <v>0</v>
      </c>
      <c r="F93" s="18">
        <f t="shared" si="12"/>
        <v>0</v>
      </c>
      <c r="G93" s="19">
        <f t="shared" si="13"/>
        <v>0</v>
      </c>
      <c r="I93" s="6" t="s">
        <v>592</v>
      </c>
      <c r="J93" s="20" t="s">
        <v>593</v>
      </c>
      <c r="K93" s="17">
        <f>VLOOKUP(I93,PL!$A:$S,4,FALSE)</f>
        <v>0</v>
      </c>
      <c r="L93" s="17">
        <f>VLOOKUP(I93,PL!$A:$S,18,FALSE)</f>
        <v>0</v>
      </c>
      <c r="M93" s="18">
        <f t="shared" si="14"/>
        <v>0</v>
      </c>
      <c r="N93" s="19">
        <f t="shared" si="15"/>
        <v>0</v>
      </c>
    </row>
    <row r="94" spans="2:14" x14ac:dyDescent="0.4">
      <c r="B94" s="6" t="s">
        <v>198</v>
      </c>
      <c r="C94" s="20" t="s">
        <v>199</v>
      </c>
      <c r="D94" s="17">
        <f>VLOOKUP(B94,BS!$A:$S,5,FALSE)</f>
        <v>0</v>
      </c>
      <c r="E94" s="17">
        <f>VLOOKUP(B94,BS!$A:$S,18,FALSE)</f>
        <v>0</v>
      </c>
      <c r="F94" s="18">
        <f t="shared" si="12"/>
        <v>0</v>
      </c>
      <c r="G94" s="19">
        <f t="shared" si="13"/>
        <v>0</v>
      </c>
      <c r="I94" s="6" t="s">
        <v>594</v>
      </c>
      <c r="J94" s="20" t="s">
        <v>595</v>
      </c>
      <c r="K94" s="17">
        <f>VLOOKUP(I94,PL!$A:$S,4,FALSE)</f>
        <v>0</v>
      </c>
      <c r="L94" s="17">
        <f>VLOOKUP(I94,PL!$A:$S,18,FALSE)</f>
        <v>0</v>
      </c>
      <c r="M94" s="18">
        <f t="shared" si="14"/>
        <v>0</v>
      </c>
      <c r="N94" s="19">
        <f t="shared" si="15"/>
        <v>0</v>
      </c>
    </row>
    <row r="95" spans="2:14" x14ac:dyDescent="0.4">
      <c r="B95" s="6" t="s">
        <v>200</v>
      </c>
      <c r="C95" s="20" t="s">
        <v>201</v>
      </c>
      <c r="D95" s="17">
        <f>VLOOKUP(B95,BS!$A:$S,5,FALSE)</f>
        <v>4865469872</v>
      </c>
      <c r="E95" s="17">
        <f>VLOOKUP(B95,BS!$A:$S,18,FALSE)</f>
        <v>5459499919</v>
      </c>
      <c r="F95" s="18">
        <f t="shared" si="12"/>
        <v>594030047</v>
      </c>
      <c r="G95" s="19">
        <f t="shared" si="13"/>
        <v>0.12209099277719256</v>
      </c>
      <c r="I95" s="6" t="s">
        <v>596</v>
      </c>
      <c r="J95" s="20" t="s">
        <v>597</v>
      </c>
      <c r="K95" s="17">
        <f>VLOOKUP(I95,PL!$A:$S,4,FALSE)</f>
        <v>0</v>
      </c>
      <c r="L95" s="17">
        <f>VLOOKUP(I95,PL!$A:$S,18,FALSE)</f>
        <v>0</v>
      </c>
      <c r="M95" s="18">
        <f t="shared" si="14"/>
        <v>0</v>
      </c>
      <c r="N95" s="19">
        <f t="shared" si="15"/>
        <v>0</v>
      </c>
    </row>
    <row r="96" spans="2:14" x14ac:dyDescent="0.4">
      <c r="B96" s="6" t="s">
        <v>202</v>
      </c>
      <c r="C96" s="20" t="s">
        <v>203</v>
      </c>
      <c r="D96" s="17">
        <f>VLOOKUP(B96,BS!$A:$S,5,FALSE)</f>
        <v>-4339316041</v>
      </c>
      <c r="E96" s="17">
        <f>VLOOKUP(B96,BS!$A:$S,18,FALSE)</f>
        <v>-375544060</v>
      </c>
      <c r="F96" s="18">
        <f t="shared" si="12"/>
        <v>3963771981</v>
      </c>
      <c r="G96" s="19">
        <f t="shared" si="13"/>
        <v>-0.91345547167994345</v>
      </c>
      <c r="I96" s="6" t="s">
        <v>598</v>
      </c>
      <c r="J96" s="20" t="s">
        <v>599</v>
      </c>
      <c r="K96" s="17">
        <f>VLOOKUP(I96,PL!$A:$S,4,FALSE)</f>
        <v>0</v>
      </c>
      <c r="L96" s="17">
        <f>VLOOKUP(I96,PL!$A:$S,18,FALSE)</f>
        <v>0</v>
      </c>
      <c r="M96" s="18">
        <f t="shared" si="14"/>
        <v>0</v>
      </c>
      <c r="N96" s="19">
        <f t="shared" si="15"/>
        <v>0</v>
      </c>
    </row>
    <row r="97" spans="2:15" x14ac:dyDescent="0.4">
      <c r="B97" s="6" t="s">
        <v>204</v>
      </c>
      <c r="C97" s="20" t="s">
        <v>205</v>
      </c>
      <c r="D97" s="17">
        <f>VLOOKUP(B97,BS!$A:$S,5,FALSE)</f>
        <v>0</v>
      </c>
      <c r="E97" s="17">
        <f>VLOOKUP(B97,BS!$A:$S,18,FALSE)</f>
        <v>0</v>
      </c>
      <c r="F97" s="18">
        <f t="shared" si="12"/>
        <v>0</v>
      </c>
      <c r="G97" s="19">
        <f t="shared" si="13"/>
        <v>0</v>
      </c>
      <c r="I97" s="6" t="s">
        <v>600</v>
      </c>
      <c r="J97" s="20" t="s">
        <v>601</v>
      </c>
      <c r="K97" s="17">
        <f>VLOOKUP(I97,PL!$A:$S,4,FALSE)</f>
        <v>0</v>
      </c>
      <c r="L97" s="17">
        <f>VLOOKUP(I97,PL!$A:$S,18,FALSE)</f>
        <v>0</v>
      </c>
      <c r="M97" s="18">
        <f t="shared" si="14"/>
        <v>0</v>
      </c>
      <c r="N97" s="19">
        <f t="shared" si="15"/>
        <v>0</v>
      </c>
    </row>
    <row r="98" spans="2:15" x14ac:dyDescent="0.4">
      <c r="B98" s="6" t="s">
        <v>206</v>
      </c>
      <c r="C98" s="20" t="s">
        <v>207</v>
      </c>
      <c r="D98" s="17">
        <f>VLOOKUP(B98,BS!$A:$S,5,FALSE)</f>
        <v>0</v>
      </c>
      <c r="E98" s="17">
        <f>VLOOKUP(B98,BS!$A:$S,18,FALSE)</f>
        <v>0</v>
      </c>
      <c r="F98" s="18">
        <f t="shared" si="12"/>
        <v>0</v>
      </c>
      <c r="G98" s="19">
        <f t="shared" si="13"/>
        <v>0</v>
      </c>
      <c r="I98" s="6" t="s">
        <v>602</v>
      </c>
      <c r="J98" s="20" t="s">
        <v>603</v>
      </c>
      <c r="K98" s="17">
        <f>VLOOKUP(I98,PL!$A:$S,4,FALSE)</f>
        <v>0</v>
      </c>
      <c r="L98" s="17">
        <f>VLOOKUP(I98,PL!$A:$S,18,FALSE)</f>
        <v>0</v>
      </c>
      <c r="M98" s="18">
        <f t="shared" si="14"/>
        <v>0</v>
      </c>
      <c r="N98" s="19">
        <f t="shared" si="15"/>
        <v>0</v>
      </c>
    </row>
    <row r="99" spans="2:15" x14ac:dyDescent="0.4">
      <c r="B99" s="6" t="s">
        <v>208</v>
      </c>
      <c r="C99" s="20" t="s">
        <v>209</v>
      </c>
      <c r="D99" s="17">
        <f>VLOOKUP(B99,BS!$A:$S,5,FALSE)</f>
        <v>0</v>
      </c>
      <c r="E99" s="17">
        <f>VLOOKUP(B99,BS!$A:$S,18,FALSE)</f>
        <v>0</v>
      </c>
      <c r="F99" s="18">
        <f t="shared" si="12"/>
        <v>0</v>
      </c>
      <c r="G99" s="19">
        <f t="shared" si="13"/>
        <v>0</v>
      </c>
      <c r="I99" s="6" t="s">
        <v>604</v>
      </c>
      <c r="J99" s="20" t="s">
        <v>605</v>
      </c>
      <c r="K99" s="17">
        <f>VLOOKUP(I99,PL!$A:$S,4,FALSE)</f>
        <v>0</v>
      </c>
      <c r="L99" s="17">
        <f>VLOOKUP(I99,PL!$A:$S,18,FALSE)</f>
        <v>0</v>
      </c>
      <c r="M99" s="18">
        <f t="shared" si="14"/>
        <v>0</v>
      </c>
      <c r="N99" s="19">
        <f t="shared" si="15"/>
        <v>0</v>
      </c>
    </row>
    <row r="100" spans="2:15" x14ac:dyDescent="0.4">
      <c r="B100" s="15" t="s">
        <v>210</v>
      </c>
      <c r="C100" s="16" t="s">
        <v>211</v>
      </c>
      <c r="D100" s="17">
        <f>VLOOKUP(B100,BS!$A:$S,5,FALSE)</f>
        <v>55491852.020000003</v>
      </c>
      <c r="E100" s="17">
        <f>VLOOKUP(B100,BS!$A:$S,18,FALSE)</f>
        <v>52571228.240000002</v>
      </c>
      <c r="F100" s="18">
        <f t="shared" si="12"/>
        <v>-2920623.7800000012</v>
      </c>
      <c r="G100" s="19">
        <f t="shared" si="13"/>
        <v>-5.2631578757677246E-2</v>
      </c>
      <c r="I100" s="6" t="s">
        <v>606</v>
      </c>
      <c r="J100" s="20" t="s">
        <v>607</v>
      </c>
      <c r="K100" s="17">
        <f>VLOOKUP(I100,PL!$A:$S,4,FALSE)</f>
        <v>0</v>
      </c>
      <c r="L100" s="17">
        <f>VLOOKUP(I100,PL!$A:$S,18,FALSE)</f>
        <v>0</v>
      </c>
      <c r="M100" s="18">
        <f t="shared" si="14"/>
        <v>0</v>
      </c>
      <c r="N100" s="19">
        <f t="shared" si="15"/>
        <v>0</v>
      </c>
    </row>
    <row r="101" spans="2:15" x14ac:dyDescent="0.4">
      <c r="B101" s="6" t="s">
        <v>212</v>
      </c>
      <c r="C101" s="20" t="s">
        <v>213</v>
      </c>
      <c r="D101" s="17">
        <f>VLOOKUP(B101,BS!$A:$S,5,FALSE)</f>
        <v>0</v>
      </c>
      <c r="E101" s="17">
        <f>VLOOKUP(B101,BS!$A:$S,18,FALSE)</f>
        <v>0</v>
      </c>
      <c r="F101" s="18">
        <f t="shared" si="12"/>
        <v>0</v>
      </c>
      <c r="G101" s="19">
        <f t="shared" si="13"/>
        <v>0</v>
      </c>
      <c r="I101" s="6" t="s">
        <v>608</v>
      </c>
      <c r="J101" s="20" t="s">
        <v>609</v>
      </c>
      <c r="K101" s="17">
        <f>VLOOKUP(I101,PL!$A:$S,4,FALSE)</f>
        <v>0</v>
      </c>
      <c r="L101" s="17">
        <f>VLOOKUP(I101,PL!$A:$S,18,FALSE)</f>
        <v>0</v>
      </c>
      <c r="M101" s="18">
        <f t="shared" si="14"/>
        <v>0</v>
      </c>
      <c r="N101" s="19">
        <f t="shared" si="15"/>
        <v>0</v>
      </c>
    </row>
    <row r="102" spans="2:15" x14ac:dyDescent="0.4">
      <c r="B102" s="6" t="s">
        <v>214</v>
      </c>
      <c r="C102" s="20" t="s">
        <v>215</v>
      </c>
      <c r="D102" s="17">
        <f>VLOOKUP(B102,BS!$A:$S,5,FALSE)</f>
        <v>0</v>
      </c>
      <c r="E102" s="17">
        <f>VLOOKUP(B102,BS!$A:$S,18,FALSE)</f>
        <v>0</v>
      </c>
      <c r="F102" s="18">
        <f t="shared" si="12"/>
        <v>0</v>
      </c>
      <c r="G102" s="19">
        <f t="shared" si="13"/>
        <v>0</v>
      </c>
      <c r="I102" s="6" t="s">
        <v>610</v>
      </c>
      <c r="J102" s="20" t="s">
        <v>611</v>
      </c>
      <c r="K102" s="17">
        <f>VLOOKUP(I102,PL!$A:$S,4,FALSE)</f>
        <v>0</v>
      </c>
      <c r="L102" s="17">
        <f>VLOOKUP(I102,PL!$A:$S,18,FALSE)</f>
        <v>0</v>
      </c>
      <c r="M102" s="18">
        <f t="shared" si="14"/>
        <v>0</v>
      </c>
      <c r="N102" s="19">
        <f t="shared" si="15"/>
        <v>0</v>
      </c>
    </row>
    <row r="103" spans="2:15" x14ac:dyDescent="0.4">
      <c r="B103" s="6" t="s">
        <v>216</v>
      </c>
      <c r="C103" s="20" t="s">
        <v>217</v>
      </c>
      <c r="D103" s="17">
        <f>VLOOKUP(B103,BS!$A:$S,5,FALSE)</f>
        <v>0</v>
      </c>
      <c r="E103" s="17">
        <f>VLOOKUP(B103,BS!$A:$S,18,FALSE)</f>
        <v>0</v>
      </c>
      <c r="F103" s="18">
        <f t="shared" si="12"/>
        <v>0</v>
      </c>
      <c r="G103" s="19">
        <f t="shared" si="13"/>
        <v>0</v>
      </c>
      <c r="I103" s="6" t="s">
        <v>612</v>
      </c>
      <c r="J103" s="20" t="s">
        <v>613</v>
      </c>
      <c r="K103" s="17">
        <f>VLOOKUP(I103,PL!$A:$S,4,FALSE)</f>
        <v>0</v>
      </c>
      <c r="L103" s="17">
        <f>VLOOKUP(I103,PL!$A:$S,18,FALSE)</f>
        <v>0</v>
      </c>
      <c r="M103" s="18">
        <f t="shared" si="14"/>
        <v>0</v>
      </c>
      <c r="N103" s="19">
        <f t="shared" si="15"/>
        <v>0</v>
      </c>
    </row>
    <row r="104" spans="2:15" x14ac:dyDescent="0.4">
      <c r="B104" s="6" t="s">
        <v>218</v>
      </c>
      <c r="C104" s="20" t="s">
        <v>219</v>
      </c>
      <c r="D104" s="17">
        <f>VLOOKUP(B104,BS!$A:$S,5,FALSE)</f>
        <v>0</v>
      </c>
      <c r="E104" s="17">
        <f>VLOOKUP(B104,BS!$A:$S,18,FALSE)</f>
        <v>0</v>
      </c>
      <c r="F104" s="18">
        <f t="shared" si="12"/>
        <v>0</v>
      </c>
      <c r="G104" s="19">
        <f t="shared" si="13"/>
        <v>0</v>
      </c>
      <c r="I104" s="6" t="s">
        <v>614</v>
      </c>
      <c r="J104" s="20" t="s">
        <v>615</v>
      </c>
      <c r="K104" s="17">
        <f>VLOOKUP(I104,PL!$A:$S,4,FALSE)</f>
        <v>0</v>
      </c>
      <c r="L104" s="17">
        <f>VLOOKUP(I104,PL!$A:$S,18,FALSE)</f>
        <v>0</v>
      </c>
      <c r="M104" s="18">
        <f t="shared" ref="M104:M135" si="18">L104-K104</f>
        <v>0</v>
      </c>
      <c r="N104" s="19">
        <f t="shared" ref="N104:N135" si="19">IFERROR(M104/K104,0)</f>
        <v>0</v>
      </c>
    </row>
    <row r="105" spans="2:15" x14ac:dyDescent="0.4">
      <c r="B105" s="6" t="s">
        <v>220</v>
      </c>
      <c r="C105" s="20" t="s">
        <v>221</v>
      </c>
      <c r="D105" s="17">
        <f>VLOOKUP(B105,BS!$A:$S,5,FALSE)</f>
        <v>55491852.020000003</v>
      </c>
      <c r="E105" s="17">
        <f>VLOOKUP(B105,BS!$A:$S,18,FALSE)</f>
        <v>52571228.240000002</v>
      </c>
      <c r="F105" s="18">
        <f t="shared" si="12"/>
        <v>-2920623.7800000012</v>
      </c>
      <c r="G105" s="19">
        <f t="shared" si="13"/>
        <v>-5.2631578757677246E-2</v>
      </c>
      <c r="I105" s="6" t="s">
        <v>616</v>
      </c>
      <c r="J105" s="20" t="s">
        <v>617</v>
      </c>
      <c r="K105" s="17">
        <f>VLOOKUP(I105,PL!$A:$S,4,FALSE)</f>
        <v>0</v>
      </c>
      <c r="L105" s="17">
        <f>VLOOKUP(I105,PL!$A:$S,18,FALSE)</f>
        <v>0</v>
      </c>
      <c r="M105" s="18">
        <f t="shared" si="18"/>
        <v>0</v>
      </c>
      <c r="N105" s="19">
        <f t="shared" si="19"/>
        <v>0</v>
      </c>
    </row>
    <row r="106" spans="2:15" x14ac:dyDescent="0.4">
      <c r="B106" s="6" t="s">
        <v>222</v>
      </c>
      <c r="C106" s="20" t="s">
        <v>223</v>
      </c>
      <c r="D106" s="17">
        <f>VLOOKUP(B106,BS!$A:$S,5,FALSE)</f>
        <v>0</v>
      </c>
      <c r="E106" s="17">
        <f>VLOOKUP(B106,BS!$A:$S,18,FALSE)</f>
        <v>0</v>
      </c>
      <c r="F106" s="18">
        <f t="shared" si="12"/>
        <v>0</v>
      </c>
      <c r="G106" s="19">
        <f t="shared" si="13"/>
        <v>0</v>
      </c>
      <c r="I106" s="6" t="s">
        <v>618</v>
      </c>
      <c r="J106" s="20" t="s">
        <v>619</v>
      </c>
      <c r="K106" s="17">
        <f>VLOOKUP(I106,PL!$A:$S,4,FALSE)</f>
        <v>0</v>
      </c>
      <c r="L106" s="17">
        <f>VLOOKUP(I106,PL!$A:$S,18,FALSE)</f>
        <v>0</v>
      </c>
      <c r="M106" s="18">
        <f t="shared" si="18"/>
        <v>0</v>
      </c>
      <c r="N106" s="19">
        <f t="shared" si="19"/>
        <v>0</v>
      </c>
    </row>
    <row r="107" spans="2:15" x14ac:dyDescent="0.4">
      <c r="B107" s="15" t="s">
        <v>224</v>
      </c>
      <c r="C107" s="16" t="s">
        <v>225</v>
      </c>
      <c r="D107" s="17">
        <f>VLOOKUP(B107,BS!$A:$S,5,FALSE)</f>
        <v>0</v>
      </c>
      <c r="E107" s="17">
        <f>VLOOKUP(B107,BS!$A:$S,18,FALSE)</f>
        <v>0</v>
      </c>
      <c r="F107" s="18">
        <f t="shared" si="12"/>
        <v>0</v>
      </c>
      <c r="G107" s="19">
        <f t="shared" si="13"/>
        <v>0</v>
      </c>
      <c r="I107" s="6" t="s">
        <v>620</v>
      </c>
      <c r="J107" s="20" t="s">
        <v>621</v>
      </c>
      <c r="K107" s="17">
        <f>VLOOKUP(I107,PL!$A:$S,4,FALSE)</f>
        <v>457999585.12</v>
      </c>
      <c r="L107" s="17">
        <f>VLOOKUP(I107,PL!$A:$S,18,FALSE)</f>
        <v>0</v>
      </c>
      <c r="M107" s="18">
        <f t="shared" si="18"/>
        <v>-457999585.12</v>
      </c>
      <c r="N107" s="19">
        <f t="shared" si="19"/>
        <v>-1</v>
      </c>
    </row>
    <row r="108" spans="2:15" x14ac:dyDescent="0.4">
      <c r="B108" s="6" t="s">
        <v>226</v>
      </c>
      <c r="C108" s="20" t="s">
        <v>227</v>
      </c>
      <c r="D108" s="17">
        <f>VLOOKUP(B108,BS!$A:$S,5,FALSE)</f>
        <v>0</v>
      </c>
      <c r="E108" s="17">
        <f>VLOOKUP(B108,BS!$A:$S,18,FALSE)</f>
        <v>0</v>
      </c>
      <c r="F108" s="18">
        <f t="shared" si="12"/>
        <v>0</v>
      </c>
      <c r="G108" s="19">
        <f t="shared" si="13"/>
        <v>0</v>
      </c>
      <c r="I108" s="6" t="s">
        <v>622</v>
      </c>
      <c r="J108" s="20" t="s">
        <v>623</v>
      </c>
      <c r="K108" s="17">
        <f>VLOOKUP(I108,PL!$A:$S,4,FALSE)</f>
        <v>0</v>
      </c>
      <c r="L108" s="17">
        <f>VLOOKUP(I108,PL!$A:$S,18,FALSE)</f>
        <v>0</v>
      </c>
      <c r="M108" s="18">
        <f t="shared" si="18"/>
        <v>0</v>
      </c>
      <c r="N108" s="19">
        <f t="shared" si="19"/>
        <v>0</v>
      </c>
      <c r="O108" s="30"/>
    </row>
    <row r="109" spans="2:15" x14ac:dyDescent="0.4">
      <c r="B109" s="6" t="s">
        <v>228</v>
      </c>
      <c r="C109" s="20" t="s">
        <v>229</v>
      </c>
      <c r="D109" s="17">
        <f>VLOOKUP(B109,BS!$A:$S,5,FALSE)</f>
        <v>0</v>
      </c>
      <c r="E109" s="17">
        <f>VLOOKUP(B109,BS!$A:$S,18,FALSE)</f>
        <v>0</v>
      </c>
      <c r="F109" s="18">
        <f t="shared" si="12"/>
        <v>0</v>
      </c>
      <c r="G109" s="19">
        <f t="shared" si="13"/>
        <v>0</v>
      </c>
      <c r="I109" s="6" t="s">
        <v>624</v>
      </c>
      <c r="J109" s="20" t="s">
        <v>355</v>
      </c>
      <c r="K109" s="17">
        <f>VLOOKUP(I109,PL!$A:$S,4,FALSE)</f>
        <v>0</v>
      </c>
      <c r="L109" s="17">
        <f>VLOOKUP(I109,PL!$A:$S,18,FALSE)</f>
        <v>0</v>
      </c>
      <c r="M109" s="18">
        <f t="shared" si="18"/>
        <v>0</v>
      </c>
      <c r="N109" s="19">
        <f t="shared" si="19"/>
        <v>0</v>
      </c>
    </row>
    <row r="110" spans="2:15" x14ac:dyDescent="0.4">
      <c r="B110" s="6" t="s">
        <v>230</v>
      </c>
      <c r="C110" s="20" t="s">
        <v>231</v>
      </c>
      <c r="D110" s="17">
        <f>VLOOKUP(B110,BS!$A:$S,5,FALSE)</f>
        <v>0</v>
      </c>
      <c r="E110" s="17">
        <f>VLOOKUP(B110,BS!$A:$S,18,FALSE)</f>
        <v>0</v>
      </c>
      <c r="F110" s="18">
        <f t="shared" si="12"/>
        <v>0</v>
      </c>
      <c r="G110" s="19">
        <f t="shared" si="13"/>
        <v>0</v>
      </c>
      <c r="I110" s="6" t="s">
        <v>625</v>
      </c>
      <c r="J110" s="20" t="s">
        <v>626</v>
      </c>
      <c r="K110" s="17">
        <f>VLOOKUP(I110,PL!$A:$S,4,FALSE)</f>
        <v>0</v>
      </c>
      <c r="L110" s="17">
        <f>VLOOKUP(I110,PL!$A:$S,18,FALSE)</f>
        <v>0</v>
      </c>
      <c r="M110" s="18">
        <f t="shared" si="18"/>
        <v>0</v>
      </c>
      <c r="N110" s="19">
        <f t="shared" si="19"/>
        <v>0</v>
      </c>
    </row>
    <row r="111" spans="2:15" x14ac:dyDescent="0.4">
      <c r="B111" s="6" t="s">
        <v>232</v>
      </c>
      <c r="C111" s="20" t="s">
        <v>233</v>
      </c>
      <c r="D111" s="17">
        <f>VLOOKUP(B111,BS!$A:$S,5,FALSE)</f>
        <v>0</v>
      </c>
      <c r="E111" s="17">
        <f>VLOOKUP(B111,BS!$A:$S,18,FALSE)</f>
        <v>0</v>
      </c>
      <c r="F111" s="18">
        <f t="shared" si="12"/>
        <v>0</v>
      </c>
      <c r="G111" s="19">
        <f t="shared" si="13"/>
        <v>0</v>
      </c>
      <c r="I111" s="15" t="s">
        <v>627</v>
      </c>
      <c r="J111" s="16" t="s">
        <v>628</v>
      </c>
      <c r="K111" s="17">
        <f>VLOOKUP(I111,PL!$A:$S,4,FALSE)</f>
        <v>756318976.19000006</v>
      </c>
      <c r="L111" s="17">
        <f>VLOOKUP(I111,PL!$A:$S,18,FALSE)</f>
        <v>2242437925.04</v>
      </c>
      <c r="M111" s="18">
        <f t="shared" si="18"/>
        <v>1486118948.8499999</v>
      </c>
      <c r="N111" s="19">
        <f t="shared" si="19"/>
        <v>1.9649367471069004</v>
      </c>
    </row>
    <row r="112" spans="2:15" x14ac:dyDescent="0.4">
      <c r="B112" s="6" t="s">
        <v>234</v>
      </c>
      <c r="C112" s="20" t="s">
        <v>235</v>
      </c>
      <c r="D112" s="17">
        <f>VLOOKUP(B112,BS!$A:$S,5,FALSE)</f>
        <v>0</v>
      </c>
      <c r="E112" s="17">
        <f>VLOOKUP(B112,BS!$A:$S,18,FALSE)</f>
        <v>0</v>
      </c>
      <c r="F112" s="18">
        <f t="shared" si="12"/>
        <v>0</v>
      </c>
      <c r="G112" s="19">
        <f t="shared" si="13"/>
        <v>0</v>
      </c>
      <c r="I112" s="6" t="s">
        <v>629</v>
      </c>
      <c r="J112" s="20" t="s">
        <v>630</v>
      </c>
      <c r="K112" s="17">
        <f>VLOOKUP(I112,PL!$A:$S,4,FALSE)</f>
        <v>23604030</v>
      </c>
      <c r="L112" s="17">
        <f>VLOOKUP(I112,PL!$A:$S,18,FALSE)</f>
        <v>18932363</v>
      </c>
      <c r="M112" s="18">
        <f t="shared" si="18"/>
        <v>-4671667</v>
      </c>
      <c r="N112" s="19">
        <f t="shared" si="19"/>
        <v>-0.1979181944778074</v>
      </c>
    </row>
    <row r="113" spans="2:14" x14ac:dyDescent="0.4">
      <c r="B113" s="15" t="s">
        <v>236</v>
      </c>
      <c r="C113" s="16" t="s">
        <v>237</v>
      </c>
      <c r="D113" s="17">
        <f>VLOOKUP(B113,BS!$A:$S,5,FALSE)</f>
        <v>68442910729.099998</v>
      </c>
      <c r="E113" s="17">
        <f>VLOOKUP(B113,BS!$A:$S,18,FALSE)</f>
        <v>69311262949.570007</v>
      </c>
      <c r="F113" s="18">
        <f t="shared" si="12"/>
        <v>868352220.47000885</v>
      </c>
      <c r="G113" s="19">
        <f t="shared" si="13"/>
        <v>1.26872485582471E-2</v>
      </c>
      <c r="I113" s="6" t="s">
        <v>631</v>
      </c>
      <c r="J113" s="20" t="s">
        <v>632</v>
      </c>
      <c r="K113" s="17">
        <f>VLOOKUP(I113,PL!$A:$S,4,FALSE)</f>
        <v>0</v>
      </c>
      <c r="L113" s="17">
        <f>VLOOKUP(I113,PL!$A:$S,18,FALSE)</f>
        <v>0</v>
      </c>
      <c r="M113" s="18">
        <f t="shared" si="18"/>
        <v>0</v>
      </c>
      <c r="N113" s="19">
        <f t="shared" si="19"/>
        <v>0</v>
      </c>
    </row>
    <row r="114" spans="2:14" x14ac:dyDescent="0.4">
      <c r="B114" s="15" t="s">
        <v>238</v>
      </c>
      <c r="C114" s="16" t="s">
        <v>239</v>
      </c>
      <c r="D114" s="17">
        <f>VLOOKUP(B114,BS!$A:$S,5,FALSE)</f>
        <v>68299827679.099998</v>
      </c>
      <c r="E114" s="17">
        <f>VLOOKUP(B114,BS!$A:$S,18,FALSE)</f>
        <v>66075945430.57</v>
      </c>
      <c r="F114" s="18">
        <f t="shared" si="12"/>
        <v>-2223882248.5299988</v>
      </c>
      <c r="G114" s="19">
        <f t="shared" si="13"/>
        <v>-3.256058359295854E-2</v>
      </c>
      <c r="I114" s="6" t="s">
        <v>633</v>
      </c>
      <c r="J114" s="20" t="s">
        <v>634</v>
      </c>
      <c r="K114" s="17">
        <f>VLOOKUP(I114,PL!$A:$S,4,FALSE)</f>
        <v>0</v>
      </c>
      <c r="L114" s="17">
        <f>VLOOKUP(I114,PL!$A:$S,18,FALSE)</f>
        <v>56288538.810000002</v>
      </c>
      <c r="M114" s="18">
        <f t="shared" si="18"/>
        <v>56288538.810000002</v>
      </c>
      <c r="N114" s="19">
        <f t="shared" si="19"/>
        <v>0</v>
      </c>
    </row>
    <row r="115" spans="2:14" x14ac:dyDescent="0.4">
      <c r="B115" s="6" t="s">
        <v>240</v>
      </c>
      <c r="C115" s="20" t="s">
        <v>241</v>
      </c>
      <c r="D115" s="17">
        <f>VLOOKUP(B115,BS!$A:$S,5,FALSE)</f>
        <v>63314513119.349998</v>
      </c>
      <c r="E115" s="17">
        <f>VLOOKUP(B115,BS!$A:$S,18,FALSE)</f>
        <v>59618934684.160004</v>
      </c>
      <c r="F115" s="18">
        <f t="shared" si="12"/>
        <v>-3695578435.1899948</v>
      </c>
      <c r="G115" s="19">
        <f t="shared" si="13"/>
        <v>-5.8368583332919333E-2</v>
      </c>
      <c r="I115" s="6" t="s">
        <v>635</v>
      </c>
      <c r="J115" s="20" t="s">
        <v>636</v>
      </c>
      <c r="K115" s="17">
        <f>VLOOKUP(I115,PL!$A:$S,4,FALSE)</f>
        <v>725940820.00999999</v>
      </c>
      <c r="L115" s="17">
        <f>VLOOKUP(I115,PL!$A:$S,18,FALSE)</f>
        <v>2167217023.23</v>
      </c>
      <c r="M115" s="18">
        <f t="shared" si="18"/>
        <v>1441276203.22</v>
      </c>
      <c r="N115" s="19">
        <f t="shared" si="19"/>
        <v>1.9853907694571387</v>
      </c>
    </row>
    <row r="116" spans="2:14" x14ac:dyDescent="0.4">
      <c r="B116" s="6" t="s">
        <v>242</v>
      </c>
      <c r="C116" s="20" t="s">
        <v>243</v>
      </c>
      <c r="D116" s="17">
        <f>VLOOKUP(B116,BS!$A:$S,5,FALSE)</f>
        <v>0</v>
      </c>
      <c r="E116" s="17">
        <f>VLOOKUP(B116,BS!$A:$S,18,FALSE)</f>
        <v>0</v>
      </c>
      <c r="F116" s="18">
        <f t="shared" si="12"/>
        <v>0</v>
      </c>
      <c r="G116" s="19">
        <f t="shared" si="13"/>
        <v>0</v>
      </c>
      <c r="I116" s="6" t="s">
        <v>637</v>
      </c>
      <c r="J116" s="20" t="s">
        <v>638</v>
      </c>
      <c r="K116" s="17">
        <f>VLOOKUP(I116,PL!$A:$S,4,FALSE)</f>
        <v>0</v>
      </c>
      <c r="L116" s="17">
        <f>VLOOKUP(I116,PL!$A:$S,18,FALSE)</f>
        <v>0</v>
      </c>
      <c r="M116" s="18">
        <f t="shared" si="18"/>
        <v>0</v>
      </c>
      <c r="N116" s="19">
        <f t="shared" si="19"/>
        <v>0</v>
      </c>
    </row>
    <row r="117" spans="2:14" x14ac:dyDescent="0.4">
      <c r="B117" s="6" t="s">
        <v>244</v>
      </c>
      <c r="C117" s="20" t="s">
        <v>245</v>
      </c>
      <c r="D117" s="17">
        <f>VLOOKUP(B117,BS!$A:$S,5,FALSE)</f>
        <v>0</v>
      </c>
      <c r="E117" s="17">
        <f>VLOOKUP(B117,BS!$A:$S,18,FALSE)</f>
        <v>0</v>
      </c>
      <c r="F117" s="18">
        <f t="shared" si="12"/>
        <v>0</v>
      </c>
      <c r="G117" s="19">
        <f t="shared" si="13"/>
        <v>0</v>
      </c>
      <c r="I117" s="6" t="s">
        <v>639</v>
      </c>
      <c r="J117" s="20" t="s">
        <v>640</v>
      </c>
      <c r="K117" s="17">
        <f>VLOOKUP(I117,PL!$A:$S,4,FALSE)</f>
        <v>0</v>
      </c>
      <c r="L117" s="17">
        <f>VLOOKUP(I117,PL!$A:$S,18,FALSE)</f>
        <v>0</v>
      </c>
      <c r="M117" s="18">
        <f t="shared" si="18"/>
        <v>0</v>
      </c>
      <c r="N117" s="19">
        <f t="shared" si="19"/>
        <v>0</v>
      </c>
    </row>
    <row r="118" spans="2:14" x14ac:dyDescent="0.4">
      <c r="B118" s="6" t="s">
        <v>246</v>
      </c>
      <c r="C118" s="20" t="s">
        <v>247</v>
      </c>
      <c r="D118" s="17">
        <f>VLOOKUP(B118,BS!$A:$S,5,FALSE)</f>
        <v>0</v>
      </c>
      <c r="E118" s="17">
        <f>VLOOKUP(B118,BS!$A:$S,18,FALSE)</f>
        <v>0</v>
      </c>
      <c r="F118" s="18">
        <f t="shared" si="12"/>
        <v>0</v>
      </c>
      <c r="G118" s="19">
        <f t="shared" si="13"/>
        <v>0</v>
      </c>
      <c r="I118" s="6" t="s">
        <v>641</v>
      </c>
      <c r="J118" s="20" t="s">
        <v>642</v>
      </c>
      <c r="K118" s="17">
        <f>VLOOKUP(I118,PL!$A:$S,4,FALSE)</f>
        <v>0</v>
      </c>
      <c r="L118" s="17">
        <f>VLOOKUP(I118,PL!$A:$S,18,FALSE)</f>
        <v>0</v>
      </c>
      <c r="M118" s="18">
        <f t="shared" si="18"/>
        <v>0</v>
      </c>
      <c r="N118" s="19">
        <f t="shared" si="19"/>
        <v>0</v>
      </c>
    </row>
    <row r="119" spans="2:14" x14ac:dyDescent="0.4">
      <c r="B119" s="6" t="s">
        <v>248</v>
      </c>
      <c r="C119" s="20" t="s">
        <v>249</v>
      </c>
      <c r="D119" s="17">
        <f>VLOOKUP(B119,BS!$A:$S,5,FALSE)</f>
        <v>0</v>
      </c>
      <c r="E119" s="17">
        <f>VLOOKUP(B119,BS!$A:$S,18,FALSE)</f>
        <v>0</v>
      </c>
      <c r="F119" s="18">
        <f t="shared" si="12"/>
        <v>0</v>
      </c>
      <c r="G119" s="19">
        <f t="shared" si="13"/>
        <v>0</v>
      </c>
      <c r="I119" s="6" t="s">
        <v>643</v>
      </c>
      <c r="J119" s="20" t="s">
        <v>644</v>
      </c>
      <c r="K119" s="17">
        <f>VLOOKUP(I119,PL!$A:$S,4,FALSE)</f>
        <v>0</v>
      </c>
      <c r="L119" s="17">
        <f>VLOOKUP(I119,PL!$A:$S,18,FALSE)</f>
        <v>0</v>
      </c>
      <c r="M119" s="18">
        <f t="shared" si="18"/>
        <v>0</v>
      </c>
      <c r="N119" s="19">
        <f t="shared" si="19"/>
        <v>0</v>
      </c>
    </row>
    <row r="120" spans="2:14" x14ac:dyDescent="0.4">
      <c r="B120" s="6" t="s">
        <v>250</v>
      </c>
      <c r="C120" s="20" t="s">
        <v>251</v>
      </c>
      <c r="D120" s="17">
        <f>VLOOKUP(B120,BS!$A:$S,5,FALSE)</f>
        <v>0</v>
      </c>
      <c r="E120" s="17">
        <f>VLOOKUP(B120,BS!$A:$S,18,FALSE)</f>
        <v>0</v>
      </c>
      <c r="F120" s="18">
        <f t="shared" si="12"/>
        <v>0</v>
      </c>
      <c r="G120" s="19">
        <f t="shared" si="13"/>
        <v>0</v>
      </c>
      <c r="I120" s="6" t="s">
        <v>645</v>
      </c>
      <c r="J120" s="20" t="s">
        <v>646</v>
      </c>
      <c r="K120" s="17">
        <f>VLOOKUP(I120,PL!$A:$S,4,FALSE)</f>
        <v>0</v>
      </c>
      <c r="L120" s="17">
        <f>VLOOKUP(I120,PL!$A:$S,18,FALSE)</f>
        <v>0</v>
      </c>
      <c r="M120" s="18">
        <f t="shared" si="18"/>
        <v>0</v>
      </c>
      <c r="N120" s="19">
        <f t="shared" si="19"/>
        <v>0</v>
      </c>
    </row>
    <row r="121" spans="2:14" x14ac:dyDescent="0.4">
      <c r="B121" s="6" t="s">
        <v>252</v>
      </c>
      <c r="C121" s="20" t="s">
        <v>253</v>
      </c>
      <c r="D121" s="17">
        <f>VLOOKUP(B121,BS!$A:$S,5,FALSE)</f>
        <v>0</v>
      </c>
      <c r="E121" s="17">
        <f>VLOOKUP(B121,BS!$A:$S,18,FALSE)</f>
        <v>0</v>
      </c>
      <c r="F121" s="18">
        <f t="shared" si="12"/>
        <v>0</v>
      </c>
      <c r="G121" s="19">
        <f t="shared" si="13"/>
        <v>0</v>
      </c>
      <c r="I121" s="6" t="s">
        <v>647</v>
      </c>
      <c r="J121" s="20" t="s">
        <v>648</v>
      </c>
      <c r="K121" s="17">
        <f>VLOOKUP(I121,PL!$A:$S,4,FALSE)</f>
        <v>0</v>
      </c>
      <c r="L121" s="17">
        <f>VLOOKUP(I121,PL!$A:$S,18,FALSE)</f>
        <v>0</v>
      </c>
      <c r="M121" s="18">
        <f t="shared" si="18"/>
        <v>0</v>
      </c>
      <c r="N121" s="19">
        <f t="shared" si="19"/>
        <v>0</v>
      </c>
    </row>
    <row r="122" spans="2:14" x14ac:dyDescent="0.4">
      <c r="B122" s="6" t="s">
        <v>254</v>
      </c>
      <c r="C122" s="20" t="s">
        <v>255</v>
      </c>
      <c r="D122" s="17">
        <f>VLOOKUP(B122,BS!$A:$S,5,FALSE)</f>
        <v>0</v>
      </c>
      <c r="E122" s="17">
        <f>VLOOKUP(B122,BS!$A:$S,18,FALSE)</f>
        <v>0</v>
      </c>
      <c r="F122" s="18">
        <f t="shared" si="12"/>
        <v>0</v>
      </c>
      <c r="G122" s="19">
        <f t="shared" si="13"/>
        <v>0</v>
      </c>
      <c r="I122" s="6" t="s">
        <v>649</v>
      </c>
      <c r="J122" s="20" t="s">
        <v>650</v>
      </c>
      <c r="K122" s="17">
        <f>VLOOKUP(I122,PL!$A:$S,4,FALSE)</f>
        <v>0</v>
      </c>
      <c r="L122" s="17">
        <f>VLOOKUP(I122,PL!$A:$S,18,FALSE)</f>
        <v>0</v>
      </c>
      <c r="M122" s="18">
        <f t="shared" si="18"/>
        <v>0</v>
      </c>
      <c r="N122" s="19">
        <f t="shared" si="19"/>
        <v>0</v>
      </c>
    </row>
    <row r="123" spans="2:14" x14ac:dyDescent="0.4">
      <c r="B123" s="6" t="s">
        <v>256</v>
      </c>
      <c r="C123" s="20" t="s">
        <v>257</v>
      </c>
      <c r="D123" s="17">
        <f>VLOOKUP(B123,BS!$A:$S,5,FALSE)</f>
        <v>0</v>
      </c>
      <c r="E123" s="17">
        <f>VLOOKUP(B123,BS!$A:$S,18,FALSE)</f>
        <v>0</v>
      </c>
      <c r="F123" s="18">
        <f t="shared" si="12"/>
        <v>0</v>
      </c>
      <c r="G123" s="19">
        <f t="shared" si="13"/>
        <v>0</v>
      </c>
      <c r="I123" s="6" t="s">
        <v>651</v>
      </c>
      <c r="J123" s="20" t="s">
        <v>652</v>
      </c>
      <c r="K123" s="17">
        <f>VLOOKUP(I123,PL!$A:$S,4,FALSE)</f>
        <v>0</v>
      </c>
      <c r="L123" s="17">
        <f>VLOOKUP(I123,PL!$A:$S,18,FALSE)</f>
        <v>0</v>
      </c>
      <c r="M123" s="18">
        <f t="shared" si="18"/>
        <v>0</v>
      </c>
      <c r="N123" s="19">
        <f t="shared" si="19"/>
        <v>0</v>
      </c>
    </row>
    <row r="124" spans="2:14" x14ac:dyDescent="0.4">
      <c r="B124" s="6" t="s">
        <v>258</v>
      </c>
      <c r="C124" s="20" t="s">
        <v>259</v>
      </c>
      <c r="D124" s="17">
        <f>VLOOKUP(B124,BS!$A:$S,5,FALSE)</f>
        <v>0</v>
      </c>
      <c r="E124" s="17">
        <f>VLOOKUP(B124,BS!$A:$S,18,FALSE)</f>
        <v>0</v>
      </c>
      <c r="F124" s="18">
        <f t="shared" si="12"/>
        <v>0</v>
      </c>
      <c r="G124" s="19">
        <f t="shared" si="13"/>
        <v>0</v>
      </c>
      <c r="I124" s="6" t="s">
        <v>653</v>
      </c>
      <c r="J124" s="20" t="s">
        <v>654</v>
      </c>
      <c r="K124" s="17">
        <f>VLOOKUP(I124,PL!$A:$S,4,FALSE)</f>
        <v>0</v>
      </c>
      <c r="L124" s="17">
        <f>VLOOKUP(I124,PL!$A:$S,18,FALSE)</f>
        <v>0</v>
      </c>
      <c r="M124" s="18">
        <f t="shared" si="18"/>
        <v>0</v>
      </c>
      <c r="N124" s="19">
        <f t="shared" si="19"/>
        <v>0</v>
      </c>
    </row>
    <row r="125" spans="2:14" x14ac:dyDescent="0.4">
      <c r="B125" s="6" t="s">
        <v>260</v>
      </c>
      <c r="C125" s="20" t="s">
        <v>261</v>
      </c>
      <c r="D125" s="17">
        <f>VLOOKUP(B125,BS!$A:$S,5,FALSE)</f>
        <v>77922318.409999996</v>
      </c>
      <c r="E125" s="17">
        <f>VLOOKUP(B125,BS!$A:$S,18,FALSE)</f>
        <v>200562170.41</v>
      </c>
      <c r="F125" s="18">
        <f t="shared" si="12"/>
        <v>122639852</v>
      </c>
      <c r="G125" s="19">
        <f t="shared" si="13"/>
        <v>1.5738732432820077</v>
      </c>
      <c r="I125" s="6" t="s">
        <v>655</v>
      </c>
      <c r="J125" s="20" t="s">
        <v>656</v>
      </c>
      <c r="K125" s="17">
        <f>VLOOKUP(I125,PL!$A:$S,4,FALSE)</f>
        <v>0</v>
      </c>
      <c r="L125" s="17">
        <f>VLOOKUP(I125,PL!$A:$S,18,FALSE)</f>
        <v>0</v>
      </c>
      <c r="M125" s="18">
        <f t="shared" si="18"/>
        <v>0</v>
      </c>
      <c r="N125" s="19">
        <f t="shared" si="19"/>
        <v>0</v>
      </c>
    </row>
    <row r="126" spans="2:14" x14ac:dyDescent="0.4">
      <c r="B126" s="6" t="s">
        <v>262</v>
      </c>
      <c r="C126" s="20" t="s">
        <v>263</v>
      </c>
      <c r="D126" s="17">
        <f>VLOOKUP(B126,BS!$A:$S,5,FALSE)</f>
        <v>2822229681</v>
      </c>
      <c r="E126" s="17">
        <f>VLOOKUP(B126,BS!$A:$S,18,FALSE)</f>
        <v>1975709428</v>
      </c>
      <c r="F126" s="18">
        <f t="shared" si="12"/>
        <v>-846520253</v>
      </c>
      <c r="G126" s="19">
        <f t="shared" si="13"/>
        <v>-0.2999473284187319</v>
      </c>
      <c r="I126" s="6" t="s">
        <v>657</v>
      </c>
      <c r="J126" s="20" t="s">
        <v>658</v>
      </c>
      <c r="K126" s="17">
        <f>VLOOKUP(I126,PL!$A:$S,4,FALSE)</f>
        <v>0</v>
      </c>
      <c r="L126" s="17">
        <f>VLOOKUP(I126,PL!$A:$S,18,FALSE)</f>
        <v>0</v>
      </c>
      <c r="M126" s="18">
        <f t="shared" si="18"/>
        <v>0</v>
      </c>
      <c r="N126" s="19">
        <f t="shared" si="19"/>
        <v>0</v>
      </c>
    </row>
    <row r="127" spans="2:14" x14ac:dyDescent="0.4">
      <c r="B127" s="6" t="s">
        <v>264</v>
      </c>
      <c r="C127" s="20" t="s">
        <v>265</v>
      </c>
      <c r="D127" s="17">
        <f>VLOOKUP(B127,BS!$A:$S,5,FALSE)</f>
        <v>0</v>
      </c>
      <c r="E127" s="17">
        <f>VLOOKUP(B127,BS!$A:$S,18,FALSE)</f>
        <v>0</v>
      </c>
      <c r="F127" s="18">
        <f t="shared" si="12"/>
        <v>0</v>
      </c>
      <c r="G127" s="19">
        <f t="shared" si="13"/>
        <v>0</v>
      </c>
      <c r="I127" s="6" t="s">
        <v>659</v>
      </c>
      <c r="J127" s="20" t="s">
        <v>660</v>
      </c>
      <c r="K127" s="17">
        <f>VLOOKUP(I127,PL!$A:$S,4,FALSE)</f>
        <v>0</v>
      </c>
      <c r="L127" s="17">
        <f>VLOOKUP(I127,PL!$A:$S,18,FALSE)</f>
        <v>0</v>
      </c>
      <c r="M127" s="18">
        <f t="shared" si="18"/>
        <v>0</v>
      </c>
      <c r="N127" s="19">
        <f t="shared" si="19"/>
        <v>0</v>
      </c>
    </row>
    <row r="128" spans="2:14" x14ac:dyDescent="0.4">
      <c r="B128" s="6" t="s">
        <v>266</v>
      </c>
      <c r="C128" s="20" t="s">
        <v>267</v>
      </c>
      <c r="D128" s="17">
        <f>VLOOKUP(B128,BS!$A:$S,5,FALSE)</f>
        <v>0</v>
      </c>
      <c r="E128" s="17">
        <f>VLOOKUP(B128,BS!$A:$S,18,FALSE)</f>
        <v>0</v>
      </c>
      <c r="F128" s="18">
        <f t="shared" si="12"/>
        <v>0</v>
      </c>
      <c r="G128" s="19">
        <f t="shared" si="13"/>
        <v>0</v>
      </c>
      <c r="I128" s="6" t="s">
        <v>661</v>
      </c>
      <c r="J128" s="20" t="s">
        <v>662</v>
      </c>
      <c r="K128" s="17">
        <f>VLOOKUP(I128,PL!$A:$S,4,FALSE)</f>
        <v>6137480.8300000001</v>
      </c>
      <c r="L128" s="17">
        <f>VLOOKUP(I128,PL!$A:$S,18,FALSE)</f>
        <v>0</v>
      </c>
      <c r="M128" s="18">
        <f t="shared" si="18"/>
        <v>-6137480.8300000001</v>
      </c>
      <c r="N128" s="19">
        <f t="shared" si="19"/>
        <v>-1</v>
      </c>
    </row>
    <row r="129" spans="2:14" x14ac:dyDescent="0.4">
      <c r="B129" s="6" t="s">
        <v>268</v>
      </c>
      <c r="C129" s="20" t="s">
        <v>269</v>
      </c>
      <c r="D129" s="17">
        <f>VLOOKUP(B129,BS!$A:$S,5,FALSE)</f>
        <v>558603480.57000005</v>
      </c>
      <c r="E129" s="17">
        <f>VLOOKUP(B129,BS!$A:$S,18,FALSE)</f>
        <v>1156958606.23</v>
      </c>
      <c r="F129" s="18">
        <f t="shared" si="12"/>
        <v>598355125.65999997</v>
      </c>
      <c r="G129" s="19">
        <f t="shared" si="13"/>
        <v>1.0711625445824957</v>
      </c>
      <c r="I129" s="6" t="s">
        <v>663</v>
      </c>
      <c r="J129" s="20" t="s">
        <v>664</v>
      </c>
      <c r="K129" s="17">
        <f>VLOOKUP(I129,PL!$A:$S,4,FALSE)</f>
        <v>0</v>
      </c>
      <c r="L129" s="17">
        <f>VLOOKUP(I129,PL!$A:$S,18,FALSE)</f>
        <v>0</v>
      </c>
      <c r="M129" s="18">
        <f t="shared" si="18"/>
        <v>0</v>
      </c>
      <c r="N129" s="19">
        <f t="shared" si="19"/>
        <v>0</v>
      </c>
    </row>
    <row r="130" spans="2:14" x14ac:dyDescent="0.4">
      <c r="B130" s="6" t="s">
        <v>270</v>
      </c>
      <c r="C130" s="20" t="s">
        <v>271</v>
      </c>
      <c r="D130" s="17">
        <f>VLOOKUP(B130,BS!$A:$S,5,FALSE)</f>
        <v>0</v>
      </c>
      <c r="E130" s="17">
        <f>VLOOKUP(B130,BS!$A:$S,18,FALSE)</f>
        <v>0</v>
      </c>
      <c r="F130" s="18">
        <f t="shared" si="12"/>
        <v>0</v>
      </c>
      <c r="G130" s="19">
        <f t="shared" si="13"/>
        <v>0</v>
      </c>
      <c r="I130" s="6" t="s">
        <v>665</v>
      </c>
      <c r="J130" s="20" t="s">
        <v>666</v>
      </c>
      <c r="K130" s="17">
        <f>VLOOKUP(I130,PL!$A:$S,4,FALSE)</f>
        <v>0</v>
      </c>
      <c r="L130" s="17">
        <f>VLOOKUP(I130,PL!$A:$S,18,FALSE)</f>
        <v>0</v>
      </c>
      <c r="M130" s="18">
        <f t="shared" si="18"/>
        <v>0</v>
      </c>
      <c r="N130" s="19">
        <f t="shared" si="19"/>
        <v>0</v>
      </c>
    </row>
    <row r="131" spans="2:14" x14ac:dyDescent="0.4">
      <c r="B131" s="6" t="s">
        <v>272</v>
      </c>
      <c r="C131" s="20" t="s">
        <v>273</v>
      </c>
      <c r="D131" s="17">
        <f>VLOOKUP(B131,BS!$A:$S,5,FALSE)</f>
        <v>0</v>
      </c>
      <c r="E131" s="17">
        <f>VLOOKUP(B131,BS!$A:$S,18,FALSE)</f>
        <v>0</v>
      </c>
      <c r="F131" s="18">
        <f t="shared" si="12"/>
        <v>0</v>
      </c>
      <c r="G131" s="19">
        <f t="shared" si="13"/>
        <v>0</v>
      </c>
      <c r="I131" s="6" t="s">
        <v>667</v>
      </c>
      <c r="J131" s="20" t="s">
        <v>668</v>
      </c>
      <c r="K131" s="17">
        <f>VLOOKUP(I131,PL!$A:$S,4,FALSE)</f>
        <v>636645.35</v>
      </c>
      <c r="L131" s="17">
        <f>VLOOKUP(I131,PL!$A:$S,18,FALSE)</f>
        <v>0</v>
      </c>
      <c r="M131" s="18">
        <f t="shared" si="18"/>
        <v>-636645.35</v>
      </c>
      <c r="N131" s="19">
        <f t="shared" si="19"/>
        <v>-1</v>
      </c>
    </row>
    <row r="132" spans="2:14" x14ac:dyDescent="0.4">
      <c r="B132" s="6" t="s">
        <v>274</v>
      </c>
      <c r="C132" s="20" t="s">
        <v>275</v>
      </c>
      <c r="D132" s="17">
        <f>VLOOKUP(B132,BS!$A:$S,5,FALSE)</f>
        <v>244668.77</v>
      </c>
      <c r="E132" s="17">
        <f>VLOOKUP(B132,BS!$A:$S,18,FALSE)</f>
        <v>244668.77</v>
      </c>
      <c r="F132" s="18">
        <f t="shared" ref="F132:F195" si="20">E132-D132</f>
        <v>0</v>
      </c>
      <c r="G132" s="19">
        <f t="shared" ref="G132:G195" si="21">IFERROR(F132/D132,0)</f>
        <v>0</v>
      </c>
      <c r="I132" s="6" t="s">
        <v>669</v>
      </c>
      <c r="J132" s="20" t="s">
        <v>670</v>
      </c>
      <c r="K132" s="17">
        <f>VLOOKUP(I132,PL!$A:$S,4,FALSE)</f>
        <v>0</v>
      </c>
      <c r="L132" s="17">
        <f>VLOOKUP(I132,PL!$A:$S,18,FALSE)</f>
        <v>0</v>
      </c>
      <c r="M132" s="18">
        <f t="shared" si="18"/>
        <v>0</v>
      </c>
      <c r="N132" s="19">
        <f t="shared" si="19"/>
        <v>0</v>
      </c>
    </row>
    <row r="133" spans="2:14" x14ac:dyDescent="0.4">
      <c r="B133" s="6" t="s">
        <v>276</v>
      </c>
      <c r="C133" s="20" t="s">
        <v>277</v>
      </c>
      <c r="D133" s="17">
        <f>VLOOKUP(B133,BS!$A:$S,5,FALSE)</f>
        <v>0</v>
      </c>
      <c r="E133" s="17">
        <f>VLOOKUP(B133,BS!$A:$S,18,FALSE)</f>
        <v>0</v>
      </c>
      <c r="F133" s="18">
        <f t="shared" si="20"/>
        <v>0</v>
      </c>
      <c r="G133" s="19">
        <f t="shared" si="21"/>
        <v>0</v>
      </c>
      <c r="I133" s="6" t="s">
        <v>671</v>
      </c>
      <c r="J133" s="20" t="s">
        <v>672</v>
      </c>
      <c r="K133" s="17">
        <f>VLOOKUP(I133,PL!$A:$S,4,FALSE)</f>
        <v>0</v>
      </c>
      <c r="L133" s="17">
        <f>VLOOKUP(I133,PL!$A:$S,18,FALSE)</f>
        <v>0</v>
      </c>
      <c r="M133" s="18">
        <f t="shared" si="18"/>
        <v>0</v>
      </c>
      <c r="N133" s="19">
        <f t="shared" si="19"/>
        <v>0</v>
      </c>
    </row>
    <row r="134" spans="2:14" x14ac:dyDescent="0.4">
      <c r="B134" s="6" t="s">
        <v>278</v>
      </c>
      <c r="C134" s="20" t="s">
        <v>279</v>
      </c>
      <c r="D134" s="17">
        <f>VLOOKUP(B134,BS!$A:$S,5,FALSE)</f>
        <v>0</v>
      </c>
      <c r="E134" s="17">
        <f>VLOOKUP(B134,BS!$A:$S,18,FALSE)</f>
        <v>0</v>
      </c>
      <c r="F134" s="18">
        <f t="shared" si="20"/>
        <v>0</v>
      </c>
      <c r="G134" s="19">
        <f t="shared" si="21"/>
        <v>0</v>
      </c>
      <c r="I134" s="6" t="s">
        <v>673</v>
      </c>
      <c r="J134" s="20" t="s">
        <v>674</v>
      </c>
      <c r="K134" s="17">
        <f>VLOOKUP(I134,PL!$A:$S,4,FALSE)</f>
        <v>0</v>
      </c>
      <c r="L134" s="17">
        <f>VLOOKUP(I134,PL!$A:$S,18,FALSE)</f>
        <v>0</v>
      </c>
      <c r="M134" s="18">
        <f t="shared" si="18"/>
        <v>0</v>
      </c>
      <c r="N134" s="19">
        <f t="shared" si="19"/>
        <v>0</v>
      </c>
    </row>
    <row r="135" spans="2:14" x14ac:dyDescent="0.4">
      <c r="B135" s="6" t="s">
        <v>280</v>
      </c>
      <c r="C135" s="20" t="s">
        <v>281</v>
      </c>
      <c r="D135" s="17">
        <f>VLOOKUP(B135,BS!$A:$S,5,FALSE)</f>
        <v>0</v>
      </c>
      <c r="E135" s="17">
        <f>VLOOKUP(B135,BS!$A:$S,18,FALSE)</f>
        <v>0</v>
      </c>
      <c r="F135" s="18">
        <f t="shared" si="20"/>
        <v>0</v>
      </c>
      <c r="G135" s="19">
        <f t="shared" si="21"/>
        <v>0</v>
      </c>
      <c r="I135" s="6" t="s">
        <v>675</v>
      </c>
      <c r="J135" s="20" t="s">
        <v>676</v>
      </c>
      <c r="K135" s="17">
        <f>VLOOKUP(I135,PL!$A:$S,4,FALSE)</f>
        <v>0</v>
      </c>
      <c r="L135" s="17">
        <f>VLOOKUP(I135,PL!$A:$S,18,FALSE)</f>
        <v>0</v>
      </c>
      <c r="M135" s="18">
        <f t="shared" si="18"/>
        <v>0</v>
      </c>
      <c r="N135" s="19">
        <f t="shared" si="19"/>
        <v>0</v>
      </c>
    </row>
    <row r="136" spans="2:14" x14ac:dyDescent="0.4">
      <c r="B136" s="6" t="s">
        <v>282</v>
      </c>
      <c r="C136" s="20" t="s">
        <v>283</v>
      </c>
      <c r="D136" s="17">
        <f>VLOOKUP(B136,BS!$A:$S,5,FALSE)</f>
        <v>0</v>
      </c>
      <c r="E136" s="17">
        <f>VLOOKUP(B136,BS!$A:$S,18,FALSE)</f>
        <v>0</v>
      </c>
      <c r="F136" s="18">
        <f t="shared" si="20"/>
        <v>0</v>
      </c>
      <c r="G136" s="19">
        <f t="shared" si="21"/>
        <v>0</v>
      </c>
      <c r="I136" s="6" t="s">
        <v>677</v>
      </c>
      <c r="J136" s="20" t="s">
        <v>678</v>
      </c>
      <c r="K136" s="17">
        <f>VLOOKUP(I136,PL!$A:$S,4,FALSE)</f>
        <v>0</v>
      </c>
      <c r="L136" s="17">
        <f>VLOOKUP(I136,PL!$A:$S,18,FALSE)</f>
        <v>0</v>
      </c>
      <c r="M136" s="18">
        <f t="shared" ref="M136:M149" si="22">L136-K136</f>
        <v>0</v>
      </c>
      <c r="N136" s="19">
        <f t="shared" ref="N136:N149" si="23">IFERROR(M136/K136,0)</f>
        <v>0</v>
      </c>
    </row>
    <row r="137" spans="2:14" x14ac:dyDescent="0.4">
      <c r="B137" s="6" t="s">
        <v>284</v>
      </c>
      <c r="C137" s="20" t="s">
        <v>285</v>
      </c>
      <c r="D137" s="17">
        <f>VLOOKUP(B137,BS!$A:$S,5,FALSE)</f>
        <v>0</v>
      </c>
      <c r="E137" s="17">
        <f>VLOOKUP(B137,BS!$A:$S,18,FALSE)</f>
        <v>0</v>
      </c>
      <c r="F137" s="18">
        <f t="shared" si="20"/>
        <v>0</v>
      </c>
      <c r="G137" s="19">
        <f t="shared" si="21"/>
        <v>0</v>
      </c>
      <c r="I137" s="6" t="s">
        <v>679</v>
      </c>
      <c r="J137" s="20" t="s">
        <v>680</v>
      </c>
      <c r="K137" s="17">
        <f>VLOOKUP(I137,PL!$A:$S,4,FALSE)</f>
        <v>0</v>
      </c>
      <c r="L137" s="17">
        <f>VLOOKUP(I137,PL!$A:$S,18,FALSE)</f>
        <v>0</v>
      </c>
      <c r="M137" s="18">
        <f t="shared" si="22"/>
        <v>0</v>
      </c>
      <c r="N137" s="19">
        <f t="shared" si="23"/>
        <v>0</v>
      </c>
    </row>
    <row r="138" spans="2:14" x14ac:dyDescent="0.4">
      <c r="B138" s="6" t="s">
        <v>286</v>
      </c>
      <c r="C138" s="20" t="s">
        <v>287</v>
      </c>
      <c r="D138" s="17">
        <f>VLOOKUP(B138,BS!$A:$S,5,FALSE)</f>
        <v>0</v>
      </c>
      <c r="E138" s="17">
        <f>VLOOKUP(B138,BS!$A:$S,18,FALSE)</f>
        <v>0</v>
      </c>
      <c r="F138" s="18">
        <f t="shared" si="20"/>
        <v>0</v>
      </c>
      <c r="G138" s="19">
        <f t="shared" si="21"/>
        <v>0</v>
      </c>
      <c r="I138" s="6" t="s">
        <v>681</v>
      </c>
      <c r="J138" s="20" t="s">
        <v>682</v>
      </c>
      <c r="K138" s="17">
        <f>VLOOKUP(I138,PL!$A:$S,4,FALSE)</f>
        <v>0</v>
      </c>
      <c r="L138" s="17">
        <f>VLOOKUP(I138,PL!$A:$S,18,FALSE)</f>
        <v>0</v>
      </c>
      <c r="M138" s="18">
        <f t="shared" si="22"/>
        <v>0</v>
      </c>
      <c r="N138" s="19">
        <f t="shared" si="23"/>
        <v>0</v>
      </c>
    </row>
    <row r="139" spans="2:14" x14ac:dyDescent="0.4">
      <c r="B139" s="6" t="s">
        <v>288</v>
      </c>
      <c r="C139" s="20" t="s">
        <v>289</v>
      </c>
      <c r="D139" s="17">
        <f>VLOOKUP(B139,BS!$A:$S,5,FALSE)</f>
        <v>0</v>
      </c>
      <c r="E139" s="17">
        <f>VLOOKUP(B139,BS!$A:$S,18,FALSE)</f>
        <v>0</v>
      </c>
      <c r="F139" s="18">
        <f t="shared" si="20"/>
        <v>0</v>
      </c>
      <c r="G139" s="19">
        <f t="shared" si="21"/>
        <v>0</v>
      </c>
      <c r="I139" s="6" t="s">
        <v>683</v>
      </c>
      <c r="J139" s="20" t="s">
        <v>684</v>
      </c>
      <c r="K139" s="17">
        <f>VLOOKUP(I139,PL!$A:$S,4,FALSE)</f>
        <v>0</v>
      </c>
      <c r="L139" s="17">
        <f>VLOOKUP(I139,PL!$A:$S,18,FALSE)</f>
        <v>0</v>
      </c>
      <c r="M139" s="18">
        <f t="shared" si="22"/>
        <v>0</v>
      </c>
      <c r="N139" s="19">
        <f t="shared" si="23"/>
        <v>0</v>
      </c>
    </row>
    <row r="140" spans="2:14" x14ac:dyDescent="0.4">
      <c r="B140" s="6" t="s">
        <v>290</v>
      </c>
      <c r="C140" s="20" t="s">
        <v>291</v>
      </c>
      <c r="D140" s="17">
        <f>VLOOKUP(B140,BS!$A:$S,5,FALSE)</f>
        <v>1100531487</v>
      </c>
      <c r="E140" s="17">
        <f>VLOOKUP(B140,BS!$A:$S,18,FALSE)</f>
        <v>1257672403</v>
      </c>
      <c r="F140" s="18">
        <f t="shared" si="20"/>
        <v>157140916</v>
      </c>
      <c r="G140" s="19">
        <f t="shared" si="21"/>
        <v>0.14278638808268826</v>
      </c>
      <c r="I140" s="6" t="s">
        <v>685</v>
      </c>
      <c r="J140" s="20" t="s">
        <v>686</v>
      </c>
      <c r="K140" s="17">
        <f>VLOOKUP(I140,PL!$A:$S,4,FALSE)</f>
        <v>0</v>
      </c>
      <c r="L140" s="17">
        <f>VLOOKUP(I140,PL!$A:$S,18,FALSE)</f>
        <v>0</v>
      </c>
      <c r="M140" s="18">
        <f t="shared" si="22"/>
        <v>0</v>
      </c>
      <c r="N140" s="19">
        <f t="shared" si="23"/>
        <v>0</v>
      </c>
    </row>
    <row r="141" spans="2:14" x14ac:dyDescent="0.4">
      <c r="B141" s="6" t="s">
        <v>292</v>
      </c>
      <c r="C141" s="20" t="s">
        <v>293</v>
      </c>
      <c r="D141" s="17">
        <f>VLOOKUP(B141,BS!$A:$S,5,FALSE)</f>
        <v>0</v>
      </c>
      <c r="E141" s="17">
        <f>VLOOKUP(B141,BS!$A:$S,18,FALSE)</f>
        <v>0</v>
      </c>
      <c r="F141" s="18">
        <f t="shared" si="20"/>
        <v>0</v>
      </c>
      <c r="G141" s="19">
        <f t="shared" si="21"/>
        <v>0</v>
      </c>
      <c r="I141" s="6" t="s">
        <v>687</v>
      </c>
      <c r="J141" s="20" t="s">
        <v>688</v>
      </c>
      <c r="K141" s="17">
        <f>VLOOKUP(I141,PL!$A:$S,4,FALSE)</f>
        <v>0</v>
      </c>
      <c r="L141" s="17">
        <f>VLOOKUP(I141,PL!$A:$S,18,FALSE)</f>
        <v>0</v>
      </c>
      <c r="M141" s="18">
        <f t="shared" si="22"/>
        <v>0</v>
      </c>
      <c r="N141" s="19">
        <f t="shared" si="23"/>
        <v>0</v>
      </c>
    </row>
    <row r="142" spans="2:14" x14ac:dyDescent="0.4">
      <c r="B142" s="6" t="s">
        <v>294</v>
      </c>
      <c r="C142" s="20" t="s">
        <v>295</v>
      </c>
      <c r="D142" s="17">
        <f>VLOOKUP(B142,BS!$A:$S,5,FALSE)</f>
        <v>425782924</v>
      </c>
      <c r="E142" s="17">
        <f>VLOOKUP(B142,BS!$A:$S,18,FALSE)</f>
        <v>1865863470</v>
      </c>
      <c r="F142" s="18">
        <f t="shared" si="20"/>
        <v>1440080546</v>
      </c>
      <c r="G142" s="19">
        <f t="shared" si="21"/>
        <v>3.3821942234583369</v>
      </c>
      <c r="I142" s="6" t="s">
        <v>689</v>
      </c>
      <c r="J142" s="20" t="s">
        <v>690</v>
      </c>
      <c r="K142" s="17">
        <f>VLOOKUP(I142,PL!$A:$S,4,FALSE)</f>
        <v>0</v>
      </c>
      <c r="L142" s="17">
        <f>VLOOKUP(I142,PL!$A:$S,18,FALSE)</f>
        <v>0</v>
      </c>
      <c r="M142" s="18">
        <f t="shared" ref="M142" si="24">L142-K142</f>
        <v>0</v>
      </c>
      <c r="N142" s="19">
        <f t="shared" ref="N142" si="25">IFERROR(M142/K142,0)</f>
        <v>0</v>
      </c>
    </row>
    <row r="143" spans="2:14" x14ac:dyDescent="0.4">
      <c r="B143" s="6" t="s">
        <v>296</v>
      </c>
      <c r="C143" s="20" t="s">
        <v>297</v>
      </c>
      <c r="D143" s="17">
        <f>VLOOKUP(B143,BS!$A:$S,5,FALSE)</f>
        <v>0</v>
      </c>
      <c r="E143" s="17">
        <f>VLOOKUP(B143,BS!$A:$S,18,FALSE)</f>
        <v>0</v>
      </c>
      <c r="F143" s="18">
        <f t="shared" si="20"/>
        <v>0</v>
      </c>
      <c r="G143" s="19">
        <f t="shared" si="21"/>
        <v>0</v>
      </c>
      <c r="I143" s="6" t="s">
        <v>725</v>
      </c>
      <c r="J143" s="20" t="s">
        <v>726</v>
      </c>
      <c r="K143" s="17">
        <f>VLOOKUP(I143,PL!$A:$S,4,FALSE)</f>
        <v>0</v>
      </c>
      <c r="L143" s="17">
        <f>VLOOKUP(I143,PL!$A:$S,18,FALSE)</f>
        <v>0</v>
      </c>
      <c r="M143" s="18">
        <f t="shared" si="22"/>
        <v>0</v>
      </c>
      <c r="N143" s="19">
        <f t="shared" si="23"/>
        <v>0</v>
      </c>
    </row>
    <row r="144" spans="2:14" x14ac:dyDescent="0.4">
      <c r="B144" s="15" t="s">
        <v>298</v>
      </c>
      <c r="C144" s="16" t="s">
        <v>299</v>
      </c>
      <c r="D144" s="17">
        <f>VLOOKUP(B144,BS!$A:$S,5,FALSE)</f>
        <v>143083050</v>
      </c>
      <c r="E144" s="17">
        <f>VLOOKUP(B144,BS!$A:$S,18,FALSE)</f>
        <v>3235317519</v>
      </c>
      <c r="F144" s="18">
        <f t="shared" si="20"/>
        <v>3092234469</v>
      </c>
      <c r="G144" s="19">
        <f t="shared" si="21"/>
        <v>21.611465991254729</v>
      </c>
      <c r="I144" s="15" t="s">
        <v>691</v>
      </c>
      <c r="J144" s="16" t="s">
        <v>692</v>
      </c>
      <c r="K144" s="17">
        <f>VLOOKUP(I144,PL!$A:$S,4,FALSE)</f>
        <v>-1816048635.5699999</v>
      </c>
      <c r="L144" s="17">
        <f>VLOOKUP(I144,PL!$A:$S,18,FALSE)</f>
        <v>-955007745.25999999</v>
      </c>
      <c r="M144" s="18">
        <f t="shared" si="22"/>
        <v>861040890.30999994</v>
      </c>
      <c r="N144" s="19">
        <f t="shared" si="23"/>
        <v>-0.4741287614468247</v>
      </c>
    </row>
    <row r="145" spans="2:14" x14ac:dyDescent="0.4">
      <c r="B145" s="6" t="s">
        <v>300</v>
      </c>
      <c r="C145" s="20" t="s">
        <v>301</v>
      </c>
      <c r="D145" s="17">
        <f>VLOOKUP(B145,BS!$A:$S,5,FALSE)</f>
        <v>0</v>
      </c>
      <c r="E145" s="17">
        <f>VLOOKUP(B145,BS!$A:$S,18,FALSE)</f>
        <v>0</v>
      </c>
      <c r="F145" s="18">
        <f t="shared" si="20"/>
        <v>0</v>
      </c>
      <c r="G145" s="19">
        <f t="shared" si="21"/>
        <v>0</v>
      </c>
      <c r="I145" s="15" t="s">
        <v>693</v>
      </c>
      <c r="J145" s="16" t="s">
        <v>694</v>
      </c>
      <c r="K145" s="17">
        <f>VLOOKUP(I145,PL!$A:$S,4,FALSE)</f>
        <v>0</v>
      </c>
      <c r="L145" s="17">
        <f>VLOOKUP(I145,PL!$A:$S,18,FALSE)</f>
        <v>0</v>
      </c>
      <c r="M145" s="18">
        <f t="shared" si="22"/>
        <v>0</v>
      </c>
      <c r="N145" s="19">
        <f t="shared" si="23"/>
        <v>0</v>
      </c>
    </row>
    <row r="146" spans="2:14" x14ac:dyDescent="0.4">
      <c r="B146" s="6" t="s">
        <v>302</v>
      </c>
      <c r="C146" s="20" t="s">
        <v>303</v>
      </c>
      <c r="D146" s="17">
        <f>VLOOKUP(B146,BS!$A:$S,5,FALSE)</f>
        <v>0</v>
      </c>
      <c r="E146" s="17">
        <f>VLOOKUP(B146,BS!$A:$S,18,FALSE)</f>
        <v>0</v>
      </c>
      <c r="F146" s="18">
        <f t="shared" si="20"/>
        <v>0</v>
      </c>
      <c r="G146" s="19">
        <f t="shared" si="21"/>
        <v>0</v>
      </c>
      <c r="I146" s="6" t="s">
        <v>695</v>
      </c>
      <c r="J146" s="20" t="s">
        <v>694</v>
      </c>
      <c r="K146" s="17">
        <f>VLOOKUP(I146,PL!$A:$S,4,FALSE)</f>
        <v>0</v>
      </c>
      <c r="L146" s="17">
        <f>VLOOKUP(I146,PL!$A:$S,18,FALSE)</f>
        <v>0</v>
      </c>
      <c r="M146" s="18">
        <f t="shared" si="22"/>
        <v>0</v>
      </c>
      <c r="N146" s="19">
        <f t="shared" si="23"/>
        <v>0</v>
      </c>
    </row>
    <row r="147" spans="2:14" x14ac:dyDescent="0.4">
      <c r="B147" s="6" t="s">
        <v>304</v>
      </c>
      <c r="C147" s="20" t="s">
        <v>305</v>
      </c>
      <c r="D147" s="17">
        <f>VLOOKUP(B147,BS!$A:$S,5,FALSE)</f>
        <v>0</v>
      </c>
      <c r="E147" s="17">
        <f>VLOOKUP(B147,BS!$A:$S,18,FALSE)</f>
        <v>0</v>
      </c>
      <c r="F147" s="18">
        <f t="shared" si="20"/>
        <v>0</v>
      </c>
      <c r="G147" s="19">
        <f t="shared" si="21"/>
        <v>0</v>
      </c>
      <c r="I147" s="15" t="s">
        <v>696</v>
      </c>
      <c r="J147" s="16" t="s">
        <v>697</v>
      </c>
      <c r="K147" s="17">
        <f>VLOOKUP(I147,PL!$A:$S,4,FALSE)</f>
        <v>-1816048635.5699999</v>
      </c>
      <c r="L147" s="17">
        <f>VLOOKUP(I147,PL!$A:$S,18,FALSE)</f>
        <v>-955007745.25999999</v>
      </c>
      <c r="M147" s="18">
        <f t="shared" si="22"/>
        <v>861040890.30999994</v>
      </c>
      <c r="N147" s="19">
        <f t="shared" si="23"/>
        <v>-0.4741287614468247</v>
      </c>
    </row>
    <row r="148" spans="2:14" x14ac:dyDescent="0.4">
      <c r="B148" s="6" t="s">
        <v>306</v>
      </c>
      <c r="C148" s="20" t="s">
        <v>307</v>
      </c>
      <c r="D148" s="17">
        <f>VLOOKUP(B148,BS!$A:$S,5,FALSE)</f>
        <v>0</v>
      </c>
      <c r="E148" s="17">
        <f>VLOOKUP(B148,BS!$A:$S,18,FALSE)</f>
        <v>0</v>
      </c>
      <c r="F148" s="18">
        <f t="shared" si="20"/>
        <v>0</v>
      </c>
      <c r="G148" s="19">
        <f t="shared" si="21"/>
        <v>0</v>
      </c>
      <c r="I148" s="6" t="s">
        <v>698</v>
      </c>
      <c r="J148" s="20" t="s">
        <v>699</v>
      </c>
      <c r="K148" s="17">
        <f>VLOOKUP(I148,PL!$A:$S,4,FALSE)</f>
        <v>-1816048635.5699999</v>
      </c>
      <c r="L148" s="17">
        <f>VLOOKUP(I148,PL!$A:$S,18,FALSE)</f>
        <v>-955007745.25999999</v>
      </c>
      <c r="M148" s="18">
        <f t="shared" si="22"/>
        <v>861040890.30999994</v>
      </c>
      <c r="N148" s="19">
        <f t="shared" si="23"/>
        <v>-0.4741287614468247</v>
      </c>
    </row>
    <row r="149" spans="2:14" x14ac:dyDescent="0.4">
      <c r="B149" s="6" t="s">
        <v>308</v>
      </c>
      <c r="C149" s="20" t="s">
        <v>309</v>
      </c>
      <c r="D149" s="17">
        <f>VLOOKUP(B149,BS!$A:$S,5,FALSE)</f>
        <v>0</v>
      </c>
      <c r="E149" s="17">
        <f>VLOOKUP(B149,BS!$A:$S,18,FALSE)</f>
        <v>0</v>
      </c>
      <c r="F149" s="18">
        <f t="shared" si="20"/>
        <v>0</v>
      </c>
      <c r="G149" s="19">
        <f t="shared" si="21"/>
        <v>0</v>
      </c>
      <c r="I149" s="6" t="s">
        <v>700</v>
      </c>
      <c r="J149" s="21" t="s">
        <v>701</v>
      </c>
      <c r="K149" s="22">
        <f>VLOOKUP(I149,PL!$A:$S,4,FALSE)</f>
        <v>0</v>
      </c>
      <c r="L149" s="22">
        <f>VLOOKUP(I149,PL!$A:$S,18,FALSE)</f>
        <v>0</v>
      </c>
      <c r="M149" s="23">
        <f t="shared" si="22"/>
        <v>0</v>
      </c>
      <c r="N149" s="24">
        <f t="shared" si="23"/>
        <v>0</v>
      </c>
    </row>
    <row r="150" spans="2:14" x14ac:dyDescent="0.4">
      <c r="B150" s="6" t="s">
        <v>310</v>
      </c>
      <c r="C150" s="20" t="s">
        <v>311</v>
      </c>
      <c r="D150" s="17">
        <f>VLOOKUP(B150,BS!$A:$S,5,FALSE)</f>
        <v>0</v>
      </c>
      <c r="E150" s="17">
        <f>VLOOKUP(B150,BS!$A:$S,18,FALSE)</f>
        <v>0</v>
      </c>
      <c r="F150" s="18">
        <f t="shared" si="20"/>
        <v>0</v>
      </c>
      <c r="G150" s="19">
        <f t="shared" si="21"/>
        <v>0</v>
      </c>
    </row>
    <row r="151" spans="2:14" x14ac:dyDescent="0.4">
      <c r="B151" s="6" t="s">
        <v>312</v>
      </c>
      <c r="C151" s="20" t="s">
        <v>313</v>
      </c>
      <c r="D151" s="17">
        <f>VLOOKUP(B151,BS!$A:$S,5,FALSE)</f>
        <v>0</v>
      </c>
      <c r="E151" s="17">
        <f>VLOOKUP(B151,BS!$A:$S,18,FALSE)</f>
        <v>0</v>
      </c>
      <c r="F151" s="18">
        <f t="shared" si="20"/>
        <v>0</v>
      </c>
      <c r="G151" s="19">
        <f t="shared" si="21"/>
        <v>0</v>
      </c>
    </row>
    <row r="152" spans="2:14" x14ac:dyDescent="0.4">
      <c r="B152" s="6" t="s">
        <v>314</v>
      </c>
      <c r="C152" s="20" t="s">
        <v>315</v>
      </c>
      <c r="D152" s="17">
        <f>VLOOKUP(B152,BS!$A:$S,5,FALSE)</f>
        <v>0</v>
      </c>
      <c r="E152" s="17">
        <f>VLOOKUP(B152,BS!$A:$S,18,FALSE)</f>
        <v>0</v>
      </c>
      <c r="F152" s="18">
        <f t="shared" si="20"/>
        <v>0</v>
      </c>
      <c r="G152" s="19">
        <f t="shared" si="21"/>
        <v>0</v>
      </c>
    </row>
    <row r="153" spans="2:14" x14ac:dyDescent="0.4">
      <c r="B153" s="6" t="s">
        <v>316</v>
      </c>
      <c r="C153" s="20" t="s">
        <v>317</v>
      </c>
      <c r="D153" s="17">
        <f>VLOOKUP(B153,BS!$A:$S,5,FALSE)</f>
        <v>0</v>
      </c>
      <c r="E153" s="17">
        <f>VLOOKUP(B153,BS!$A:$S,18,FALSE)</f>
        <v>0</v>
      </c>
      <c r="F153" s="18">
        <f t="shared" si="20"/>
        <v>0</v>
      </c>
      <c r="G153" s="19">
        <f t="shared" si="21"/>
        <v>0</v>
      </c>
    </row>
    <row r="154" spans="2:14" x14ac:dyDescent="0.4">
      <c r="B154" s="6" t="s">
        <v>318</v>
      </c>
      <c r="C154" s="20" t="s">
        <v>319</v>
      </c>
      <c r="D154" s="17">
        <f>VLOOKUP(B154,BS!$A:$S,5,FALSE)</f>
        <v>0</v>
      </c>
      <c r="E154" s="17">
        <f>VLOOKUP(B154,BS!$A:$S,18,FALSE)</f>
        <v>0</v>
      </c>
      <c r="F154" s="18">
        <f t="shared" si="20"/>
        <v>0</v>
      </c>
      <c r="G154" s="19">
        <f t="shared" si="21"/>
        <v>0</v>
      </c>
    </row>
    <row r="155" spans="2:14" x14ac:dyDescent="0.4">
      <c r="B155" s="6" t="s">
        <v>320</v>
      </c>
      <c r="C155" s="20" t="s">
        <v>321</v>
      </c>
      <c r="D155" s="17">
        <f>VLOOKUP(B155,BS!$A:$S,5,FALSE)</f>
        <v>0</v>
      </c>
      <c r="E155" s="17">
        <f>VLOOKUP(B155,BS!$A:$S,18,FALSE)</f>
        <v>0</v>
      </c>
      <c r="F155" s="18">
        <f t="shared" si="20"/>
        <v>0</v>
      </c>
      <c r="G155" s="19">
        <f t="shared" si="21"/>
        <v>0</v>
      </c>
    </row>
    <row r="156" spans="2:14" x14ac:dyDescent="0.4">
      <c r="B156" s="6" t="s">
        <v>322</v>
      </c>
      <c r="C156" s="20" t="s">
        <v>323</v>
      </c>
      <c r="D156" s="17">
        <f>VLOOKUP(B156,BS!$A:$S,5,FALSE)</f>
        <v>0</v>
      </c>
      <c r="E156" s="17">
        <f>VLOOKUP(B156,BS!$A:$S,18,FALSE)</f>
        <v>0</v>
      </c>
      <c r="F156" s="18">
        <f t="shared" si="20"/>
        <v>0</v>
      </c>
      <c r="G156" s="19">
        <f t="shared" si="21"/>
        <v>0</v>
      </c>
    </row>
    <row r="157" spans="2:14" x14ac:dyDescent="0.4">
      <c r="B157" s="6" t="s">
        <v>324</v>
      </c>
      <c r="C157" s="20" t="s">
        <v>325</v>
      </c>
      <c r="D157" s="17">
        <f>VLOOKUP(B157,BS!$A:$S,5,FALSE)</f>
        <v>0</v>
      </c>
      <c r="E157" s="17">
        <f>VLOOKUP(B157,BS!$A:$S,18,FALSE)</f>
        <v>0</v>
      </c>
      <c r="F157" s="18">
        <f t="shared" si="20"/>
        <v>0</v>
      </c>
      <c r="G157" s="19">
        <f t="shared" si="21"/>
        <v>0</v>
      </c>
    </row>
    <row r="158" spans="2:14" x14ac:dyDescent="0.4">
      <c r="B158" s="6" t="s">
        <v>326</v>
      </c>
      <c r="C158" s="20" t="s">
        <v>327</v>
      </c>
      <c r="D158" s="17">
        <f>VLOOKUP(B158,BS!$A:$S,5,FALSE)</f>
        <v>143083050</v>
      </c>
      <c r="E158" s="17">
        <f>VLOOKUP(B158,BS!$A:$S,18,FALSE)</f>
        <v>3235317519</v>
      </c>
      <c r="F158" s="18">
        <f t="shared" si="20"/>
        <v>3092234469</v>
      </c>
      <c r="G158" s="19">
        <f t="shared" si="21"/>
        <v>21.611465991254729</v>
      </c>
    </row>
    <row r="159" spans="2:14" x14ac:dyDescent="0.4">
      <c r="B159" s="6" t="s">
        <v>328</v>
      </c>
      <c r="C159" s="20" t="s">
        <v>329</v>
      </c>
      <c r="D159" s="17">
        <f>VLOOKUP(B159,BS!$A:$S,5,FALSE)</f>
        <v>0</v>
      </c>
      <c r="E159" s="17">
        <f>VLOOKUP(B159,BS!$A:$S,18,FALSE)</f>
        <v>0</v>
      </c>
      <c r="F159" s="18">
        <f t="shared" si="20"/>
        <v>0</v>
      </c>
      <c r="G159" s="19">
        <f t="shared" si="21"/>
        <v>0</v>
      </c>
    </row>
    <row r="160" spans="2:14" x14ac:dyDescent="0.4">
      <c r="B160" s="6" t="s">
        <v>330</v>
      </c>
      <c r="C160" s="20" t="s">
        <v>331</v>
      </c>
      <c r="D160" s="17">
        <f>VLOOKUP(B160,BS!$A:$S,5,FALSE)</f>
        <v>0</v>
      </c>
      <c r="E160" s="17">
        <f>VLOOKUP(B160,BS!$A:$S,18,FALSE)</f>
        <v>0</v>
      </c>
      <c r="F160" s="18">
        <f t="shared" si="20"/>
        <v>0</v>
      </c>
      <c r="G160" s="19">
        <f t="shared" si="21"/>
        <v>0</v>
      </c>
    </row>
    <row r="161" spans="2:7" x14ac:dyDescent="0.4">
      <c r="B161" s="6" t="s">
        <v>332</v>
      </c>
      <c r="C161" s="20" t="s">
        <v>333</v>
      </c>
      <c r="D161" s="17">
        <f>VLOOKUP(B161,BS!$A:$S,5,FALSE)</f>
        <v>0</v>
      </c>
      <c r="E161" s="17">
        <f>VLOOKUP(B161,BS!$A:$S,18,FALSE)</f>
        <v>0</v>
      </c>
      <c r="F161" s="18">
        <f t="shared" si="20"/>
        <v>0</v>
      </c>
      <c r="G161" s="19">
        <f t="shared" si="21"/>
        <v>0</v>
      </c>
    </row>
    <row r="162" spans="2:7" x14ac:dyDescent="0.4">
      <c r="B162" s="15" t="s">
        <v>334</v>
      </c>
      <c r="C162" s="16" t="s">
        <v>335</v>
      </c>
      <c r="D162" s="17">
        <f>VLOOKUP(B162,BS!$A:$S,5,FALSE)</f>
        <v>-5419008729.6000004</v>
      </c>
      <c r="E162" s="17">
        <f>VLOOKUP(B162,BS!$A:$S,18,FALSE)</f>
        <v>-6374016474.8599997</v>
      </c>
      <c r="F162" s="18">
        <f t="shared" si="20"/>
        <v>-955007745.25999928</v>
      </c>
      <c r="G162" s="19">
        <f t="shared" si="21"/>
        <v>0.17623292246116984</v>
      </c>
    </row>
    <row r="163" spans="2:7" x14ac:dyDescent="0.4">
      <c r="B163" s="15" t="s">
        <v>336</v>
      </c>
      <c r="C163" s="16" t="s">
        <v>337</v>
      </c>
      <c r="D163" s="17">
        <f>VLOOKUP(B163,BS!$A:$S,5,FALSE)</f>
        <v>1612584500</v>
      </c>
      <c r="E163" s="17">
        <f>VLOOKUP(B163,BS!$A:$S,18,FALSE)</f>
        <v>1612584500</v>
      </c>
      <c r="F163" s="18">
        <f t="shared" si="20"/>
        <v>0</v>
      </c>
      <c r="G163" s="19">
        <f t="shared" si="21"/>
        <v>0</v>
      </c>
    </row>
    <row r="164" spans="2:7" x14ac:dyDescent="0.4">
      <c r="B164" s="6" t="s">
        <v>338</v>
      </c>
      <c r="C164" s="20" t="s">
        <v>339</v>
      </c>
      <c r="D164" s="17">
        <f>VLOOKUP(B164,BS!$A:$S,5,FALSE)</f>
        <v>1612584500</v>
      </c>
      <c r="E164" s="17">
        <f>VLOOKUP(B164,BS!$A:$S,18,FALSE)</f>
        <v>1612584500</v>
      </c>
      <c r="F164" s="18">
        <f t="shared" si="20"/>
        <v>0</v>
      </c>
      <c r="G164" s="19">
        <f t="shared" si="21"/>
        <v>0</v>
      </c>
    </row>
    <row r="165" spans="2:7" x14ac:dyDescent="0.4">
      <c r="B165" s="6" t="s">
        <v>340</v>
      </c>
      <c r="C165" s="20" t="s">
        <v>341</v>
      </c>
      <c r="D165" s="17">
        <f>VLOOKUP(B165,BS!$A:$S,5,FALSE)</f>
        <v>0</v>
      </c>
      <c r="E165" s="17">
        <f>VLOOKUP(B165,BS!$A:$S,18,FALSE)</f>
        <v>0</v>
      </c>
      <c r="F165" s="18">
        <f t="shared" si="20"/>
        <v>0</v>
      </c>
      <c r="G165" s="19">
        <f t="shared" si="21"/>
        <v>0</v>
      </c>
    </row>
    <row r="166" spans="2:7" x14ac:dyDescent="0.4">
      <c r="B166" s="15" t="s">
        <v>342</v>
      </c>
      <c r="C166" s="16" t="s">
        <v>343</v>
      </c>
      <c r="D166" s="17">
        <f>VLOOKUP(B166,BS!$A:$S,5,FALSE)</f>
        <v>0</v>
      </c>
      <c r="E166" s="17">
        <f>VLOOKUP(B166,BS!$A:$S,18,FALSE)</f>
        <v>0</v>
      </c>
      <c r="F166" s="18">
        <f t="shared" si="20"/>
        <v>0</v>
      </c>
      <c r="G166" s="19">
        <f t="shared" si="21"/>
        <v>0</v>
      </c>
    </row>
    <row r="167" spans="2:7" x14ac:dyDescent="0.4">
      <c r="B167" s="6" t="s">
        <v>344</v>
      </c>
      <c r="C167" s="20" t="s">
        <v>345</v>
      </c>
      <c r="D167" s="17">
        <f>VLOOKUP(B167,BS!$A:$S,5,FALSE)</f>
        <v>0</v>
      </c>
      <c r="E167" s="17">
        <f>VLOOKUP(B167,BS!$A:$S,18,FALSE)</f>
        <v>0</v>
      </c>
      <c r="F167" s="18">
        <f t="shared" si="20"/>
        <v>0</v>
      </c>
      <c r="G167" s="19">
        <f t="shared" si="21"/>
        <v>0</v>
      </c>
    </row>
    <row r="168" spans="2:7" x14ac:dyDescent="0.4">
      <c r="B168" s="6" t="s">
        <v>346</v>
      </c>
      <c r="C168" s="20" t="s">
        <v>347</v>
      </c>
      <c r="D168" s="17">
        <f>VLOOKUP(B168,BS!$A:$S,5,FALSE)</f>
        <v>0</v>
      </c>
      <c r="E168" s="17">
        <f>VLOOKUP(B168,BS!$A:$S,18,FALSE)</f>
        <v>0</v>
      </c>
      <c r="F168" s="18">
        <f t="shared" si="20"/>
        <v>0</v>
      </c>
      <c r="G168" s="19">
        <f t="shared" si="21"/>
        <v>0</v>
      </c>
    </row>
    <row r="169" spans="2:7" x14ac:dyDescent="0.4">
      <c r="B169" s="6" t="s">
        <v>348</v>
      </c>
      <c r="C169" s="20" t="s">
        <v>349</v>
      </c>
      <c r="D169" s="17">
        <f>VLOOKUP(B169,BS!$A:$S,5,FALSE)</f>
        <v>0</v>
      </c>
      <c r="E169" s="17">
        <f>VLOOKUP(B169,BS!$A:$S,18,FALSE)</f>
        <v>0</v>
      </c>
      <c r="F169" s="18">
        <f t="shared" si="20"/>
        <v>0</v>
      </c>
      <c r="G169" s="19">
        <f t="shared" si="21"/>
        <v>0</v>
      </c>
    </row>
    <row r="170" spans="2:7" x14ac:dyDescent="0.4">
      <c r="B170" s="6" t="s">
        <v>350</v>
      </c>
      <c r="C170" s="20" t="s">
        <v>351</v>
      </c>
      <c r="D170" s="17">
        <f>VLOOKUP(B170,BS!$A:$S,5,FALSE)</f>
        <v>0</v>
      </c>
      <c r="E170" s="17">
        <f>VLOOKUP(B170,BS!$A:$S,18,FALSE)</f>
        <v>0</v>
      </c>
      <c r="F170" s="18">
        <f t="shared" si="20"/>
        <v>0</v>
      </c>
      <c r="G170" s="19">
        <f t="shared" si="21"/>
        <v>0</v>
      </c>
    </row>
    <row r="171" spans="2:7" x14ac:dyDescent="0.4">
      <c r="B171" s="6" t="s">
        <v>352</v>
      </c>
      <c r="C171" s="20" t="s">
        <v>353</v>
      </c>
      <c r="D171" s="17">
        <f>VLOOKUP(B171,BS!$A:$S,5,FALSE)</f>
        <v>0</v>
      </c>
      <c r="E171" s="17">
        <f>VLOOKUP(B171,BS!$A:$S,18,FALSE)</f>
        <v>0</v>
      </c>
      <c r="F171" s="18">
        <f t="shared" si="20"/>
        <v>0</v>
      </c>
      <c r="G171" s="19">
        <f t="shared" si="21"/>
        <v>0</v>
      </c>
    </row>
    <row r="172" spans="2:7" x14ac:dyDescent="0.4">
      <c r="B172" s="6" t="s">
        <v>354</v>
      </c>
      <c r="C172" s="20" t="s">
        <v>355</v>
      </c>
      <c r="D172" s="17">
        <f>VLOOKUP(B172,BS!$A:$S,5,FALSE)</f>
        <v>0</v>
      </c>
      <c r="E172" s="17">
        <f>VLOOKUP(B172,BS!$A:$S,18,FALSE)</f>
        <v>0</v>
      </c>
      <c r="F172" s="18">
        <f t="shared" si="20"/>
        <v>0</v>
      </c>
      <c r="G172" s="19">
        <f t="shared" si="21"/>
        <v>0</v>
      </c>
    </row>
    <row r="173" spans="2:7" x14ac:dyDescent="0.4">
      <c r="B173" s="6" t="s">
        <v>356</v>
      </c>
      <c r="C173" s="20" t="s">
        <v>357</v>
      </c>
      <c r="D173" s="17">
        <f>VLOOKUP(B173,BS!$A:$S,5,FALSE)</f>
        <v>0</v>
      </c>
      <c r="E173" s="17">
        <f>VLOOKUP(B173,BS!$A:$S,18,FALSE)</f>
        <v>0</v>
      </c>
      <c r="F173" s="18">
        <f t="shared" si="20"/>
        <v>0</v>
      </c>
      <c r="G173" s="19">
        <f t="shared" si="21"/>
        <v>0</v>
      </c>
    </row>
    <row r="174" spans="2:7" x14ac:dyDescent="0.4">
      <c r="B174" s="15" t="s">
        <v>358</v>
      </c>
      <c r="C174" s="16" t="s">
        <v>359</v>
      </c>
      <c r="D174" s="17">
        <f>VLOOKUP(B174,BS!$A:$S,5,FALSE)</f>
        <v>1361356.62</v>
      </c>
      <c r="E174" s="17">
        <f>VLOOKUP(B174,BS!$A:$S,18,FALSE)</f>
        <v>1361356.62</v>
      </c>
      <c r="F174" s="18">
        <f t="shared" si="20"/>
        <v>0</v>
      </c>
      <c r="G174" s="19">
        <f t="shared" si="21"/>
        <v>0</v>
      </c>
    </row>
    <row r="175" spans="2:7" x14ac:dyDescent="0.4">
      <c r="B175" s="6" t="s">
        <v>360</v>
      </c>
      <c r="C175" s="20" t="s">
        <v>361</v>
      </c>
      <c r="D175" s="17">
        <f>VLOOKUP(B175,BS!$A:$S,5,FALSE)</f>
        <v>0</v>
      </c>
      <c r="E175" s="17">
        <f>VLOOKUP(B175,BS!$A:$S,18,FALSE)</f>
        <v>0</v>
      </c>
      <c r="F175" s="18">
        <f t="shared" si="20"/>
        <v>0</v>
      </c>
      <c r="G175" s="19">
        <f t="shared" si="21"/>
        <v>0</v>
      </c>
    </row>
    <row r="176" spans="2:7" x14ac:dyDescent="0.4">
      <c r="B176" s="6" t="s">
        <v>362</v>
      </c>
      <c r="C176" s="20" t="s">
        <v>363</v>
      </c>
      <c r="D176" s="17">
        <f>VLOOKUP(B176,BS!$A:$S,5,FALSE)</f>
        <v>0</v>
      </c>
      <c r="E176" s="17">
        <f>VLOOKUP(B176,BS!$A:$S,18,FALSE)</f>
        <v>0</v>
      </c>
      <c r="F176" s="18">
        <f t="shared" si="20"/>
        <v>0</v>
      </c>
      <c r="G176" s="19">
        <f t="shared" si="21"/>
        <v>0</v>
      </c>
    </row>
    <row r="177" spans="2:7" x14ac:dyDescent="0.4">
      <c r="B177" s="6" t="s">
        <v>364</v>
      </c>
      <c r="C177" s="20" t="s">
        <v>365</v>
      </c>
      <c r="D177" s="17">
        <f>VLOOKUP(B177,BS!$A:$S,5,FALSE)</f>
        <v>0</v>
      </c>
      <c r="E177" s="17">
        <f>VLOOKUP(B177,BS!$A:$S,18,FALSE)</f>
        <v>0</v>
      </c>
      <c r="F177" s="18">
        <f t="shared" si="20"/>
        <v>0</v>
      </c>
      <c r="G177" s="19">
        <f t="shared" si="21"/>
        <v>0</v>
      </c>
    </row>
    <row r="178" spans="2:7" x14ac:dyDescent="0.4">
      <c r="B178" s="6" t="s">
        <v>366</v>
      </c>
      <c r="C178" s="20" t="s">
        <v>367</v>
      </c>
      <c r="D178" s="17">
        <f>VLOOKUP(B178,BS!$A:$S,5,FALSE)</f>
        <v>0</v>
      </c>
      <c r="E178" s="17">
        <f>VLOOKUP(B178,BS!$A:$S,18,FALSE)</f>
        <v>0</v>
      </c>
      <c r="F178" s="18">
        <f t="shared" si="20"/>
        <v>0</v>
      </c>
      <c r="G178" s="19">
        <f t="shared" si="21"/>
        <v>0</v>
      </c>
    </row>
    <row r="179" spans="2:7" x14ac:dyDescent="0.4">
      <c r="B179" s="6" t="s">
        <v>368</v>
      </c>
      <c r="C179" s="20" t="s">
        <v>369</v>
      </c>
      <c r="D179" s="17">
        <f>VLOOKUP(B179,BS!$A:$S,5,FALSE)</f>
        <v>0</v>
      </c>
      <c r="E179" s="17">
        <f>VLOOKUP(B179,BS!$A:$S,18,FALSE)</f>
        <v>0</v>
      </c>
      <c r="F179" s="18">
        <f t="shared" si="20"/>
        <v>0</v>
      </c>
      <c r="G179" s="19">
        <f t="shared" si="21"/>
        <v>0</v>
      </c>
    </row>
    <row r="180" spans="2:7" x14ac:dyDescent="0.4">
      <c r="B180" s="6" t="s">
        <v>370</v>
      </c>
      <c r="C180" s="20" t="s">
        <v>371</v>
      </c>
      <c r="D180" s="17">
        <f>VLOOKUP(B180,BS!$A:$S,5,FALSE)</f>
        <v>0</v>
      </c>
      <c r="E180" s="17">
        <f>VLOOKUP(B180,BS!$A:$S,18,FALSE)</f>
        <v>0</v>
      </c>
      <c r="F180" s="18">
        <f t="shared" si="20"/>
        <v>0</v>
      </c>
      <c r="G180" s="19">
        <f t="shared" si="21"/>
        <v>0</v>
      </c>
    </row>
    <row r="181" spans="2:7" x14ac:dyDescent="0.4">
      <c r="B181" s="6" t="s">
        <v>372</v>
      </c>
      <c r="C181" s="20" t="s">
        <v>373</v>
      </c>
      <c r="D181" s="17">
        <f>VLOOKUP(B181,BS!$A:$S,5,FALSE)</f>
        <v>1361356.62</v>
      </c>
      <c r="E181" s="17">
        <f>VLOOKUP(B181,BS!$A:$S,18,FALSE)</f>
        <v>1361356.62</v>
      </c>
      <c r="F181" s="18">
        <f t="shared" si="20"/>
        <v>0</v>
      </c>
      <c r="G181" s="19">
        <f t="shared" si="21"/>
        <v>0</v>
      </c>
    </row>
    <row r="182" spans="2:7" x14ac:dyDescent="0.4">
      <c r="B182" s="15" t="s">
        <v>374</v>
      </c>
      <c r="C182" s="16" t="s">
        <v>375</v>
      </c>
      <c r="D182" s="17">
        <f>VLOOKUP(B182,BS!$A:$S,5,FALSE)</f>
        <v>0</v>
      </c>
      <c r="E182" s="17">
        <f>VLOOKUP(B182,BS!$A:$S,18,FALSE)</f>
        <v>0</v>
      </c>
      <c r="F182" s="18">
        <f t="shared" si="20"/>
        <v>0</v>
      </c>
      <c r="G182" s="19">
        <f t="shared" si="21"/>
        <v>0</v>
      </c>
    </row>
    <row r="183" spans="2:7" x14ac:dyDescent="0.4">
      <c r="B183" s="6" t="s">
        <v>376</v>
      </c>
      <c r="C183" s="20" t="s">
        <v>377</v>
      </c>
      <c r="D183" s="17">
        <f>VLOOKUP(B183,BS!$A:$S,5,FALSE)</f>
        <v>0</v>
      </c>
      <c r="E183" s="17">
        <f>VLOOKUP(B183,BS!$A:$S,18,FALSE)</f>
        <v>0</v>
      </c>
      <c r="F183" s="18">
        <f t="shared" si="20"/>
        <v>0</v>
      </c>
      <c r="G183" s="19">
        <f t="shared" si="21"/>
        <v>0</v>
      </c>
    </row>
    <row r="184" spans="2:7" x14ac:dyDescent="0.4">
      <c r="B184" s="6" t="s">
        <v>378</v>
      </c>
      <c r="C184" s="20" t="s">
        <v>379</v>
      </c>
      <c r="D184" s="17">
        <f>VLOOKUP(B184,BS!$A:$S,5,FALSE)</f>
        <v>0</v>
      </c>
      <c r="E184" s="17">
        <f>VLOOKUP(B184,BS!$A:$S,18,FALSE)</f>
        <v>0</v>
      </c>
      <c r="F184" s="18">
        <f t="shared" si="20"/>
        <v>0</v>
      </c>
      <c r="G184" s="19">
        <f t="shared" si="21"/>
        <v>0</v>
      </c>
    </row>
    <row r="185" spans="2:7" x14ac:dyDescent="0.4">
      <c r="B185" s="6" t="s">
        <v>380</v>
      </c>
      <c r="C185" s="20" t="s">
        <v>381</v>
      </c>
      <c r="D185" s="17">
        <f>VLOOKUP(B185,BS!$A:$S,5,FALSE)</f>
        <v>0</v>
      </c>
      <c r="E185" s="17">
        <f>VLOOKUP(B185,BS!$A:$S,18,FALSE)</f>
        <v>0</v>
      </c>
      <c r="F185" s="18">
        <f t="shared" si="20"/>
        <v>0</v>
      </c>
      <c r="G185" s="19">
        <f t="shared" si="21"/>
        <v>0</v>
      </c>
    </row>
    <row r="186" spans="2:7" x14ac:dyDescent="0.4">
      <c r="B186" s="6" t="s">
        <v>382</v>
      </c>
      <c r="C186" s="20" t="s">
        <v>383</v>
      </c>
      <c r="D186" s="17">
        <f>VLOOKUP(B186,BS!$A:$S,5,FALSE)</f>
        <v>0</v>
      </c>
      <c r="E186" s="17">
        <f>VLOOKUP(B186,BS!$A:$S,18,FALSE)</f>
        <v>0</v>
      </c>
      <c r="F186" s="18">
        <f t="shared" si="20"/>
        <v>0</v>
      </c>
      <c r="G186" s="19">
        <f t="shared" si="21"/>
        <v>0</v>
      </c>
    </row>
    <row r="187" spans="2:7" x14ac:dyDescent="0.4">
      <c r="B187" s="6" t="s">
        <v>384</v>
      </c>
      <c r="C187" s="20" t="s">
        <v>385</v>
      </c>
      <c r="D187" s="17">
        <f>VLOOKUP(B187,BS!$A:$S,5,FALSE)</f>
        <v>0</v>
      </c>
      <c r="E187" s="17">
        <f>VLOOKUP(B187,BS!$A:$S,18,FALSE)</f>
        <v>0</v>
      </c>
      <c r="F187" s="18">
        <f t="shared" si="20"/>
        <v>0</v>
      </c>
      <c r="G187" s="19">
        <f t="shared" si="21"/>
        <v>0</v>
      </c>
    </row>
    <row r="188" spans="2:7" x14ac:dyDescent="0.4">
      <c r="B188" s="15" t="s">
        <v>386</v>
      </c>
      <c r="C188" s="16" t="s">
        <v>387</v>
      </c>
      <c r="D188" s="17">
        <f>VLOOKUP(B188,BS!$A:$S,5,FALSE)</f>
        <v>-7032954586.2200003</v>
      </c>
      <c r="E188" s="17">
        <f>VLOOKUP(B188,BS!$A:$S,18,FALSE)</f>
        <v>-7987962331.4799995</v>
      </c>
      <c r="F188" s="18">
        <f t="shared" si="20"/>
        <v>-955007745.25999928</v>
      </c>
      <c r="G188" s="19">
        <f t="shared" si="21"/>
        <v>0.13579040409718995</v>
      </c>
    </row>
    <row r="189" spans="2:7" x14ac:dyDescent="0.4">
      <c r="B189" s="6" t="s">
        <v>388</v>
      </c>
      <c r="C189" s="20" t="s">
        <v>389</v>
      </c>
      <c r="D189" s="17">
        <f>VLOOKUP(B189,BS!$A:$S,5,FALSE)</f>
        <v>0</v>
      </c>
      <c r="E189" s="17">
        <f>VLOOKUP(B189,BS!$A:$S,18,FALSE)</f>
        <v>0</v>
      </c>
      <c r="F189" s="18">
        <f t="shared" si="20"/>
        <v>0</v>
      </c>
      <c r="G189" s="19">
        <f t="shared" si="21"/>
        <v>0</v>
      </c>
    </row>
    <row r="190" spans="2:7" x14ac:dyDescent="0.4">
      <c r="B190" s="6" t="s">
        <v>390</v>
      </c>
      <c r="C190" s="20" t="s">
        <v>391</v>
      </c>
      <c r="D190" s="17">
        <f>VLOOKUP(B190,BS!$A:$S,5,FALSE)</f>
        <v>0</v>
      </c>
      <c r="E190" s="17">
        <f>VLOOKUP(B190,BS!$A:$S,18,FALSE)</f>
        <v>0</v>
      </c>
      <c r="F190" s="18">
        <f t="shared" si="20"/>
        <v>0</v>
      </c>
      <c r="G190" s="19">
        <f t="shared" si="21"/>
        <v>0</v>
      </c>
    </row>
    <row r="191" spans="2:7" x14ac:dyDescent="0.4">
      <c r="B191" s="6" t="s">
        <v>392</v>
      </c>
      <c r="C191" s="20" t="s">
        <v>393</v>
      </c>
      <c r="D191" s="17">
        <f>VLOOKUP(B191,BS!$A:$S,5,FALSE)</f>
        <v>0</v>
      </c>
      <c r="E191" s="17">
        <f>VLOOKUP(B191,BS!$A:$S,18,FALSE)</f>
        <v>0</v>
      </c>
      <c r="F191" s="18">
        <f t="shared" si="20"/>
        <v>0</v>
      </c>
      <c r="G191" s="19">
        <f t="shared" si="21"/>
        <v>0</v>
      </c>
    </row>
    <row r="192" spans="2:7" x14ac:dyDescent="0.4">
      <c r="B192" s="6" t="s">
        <v>394</v>
      </c>
      <c r="C192" s="20" t="s">
        <v>395</v>
      </c>
      <c r="D192" s="17">
        <f>VLOOKUP(B192,BS!$A:$S,5,FALSE)</f>
        <v>0</v>
      </c>
      <c r="E192" s="17">
        <f>VLOOKUP(B192,BS!$A:$S,18,FALSE)</f>
        <v>0</v>
      </c>
      <c r="F192" s="18">
        <f t="shared" si="20"/>
        <v>0</v>
      </c>
      <c r="G192" s="19">
        <f t="shared" si="21"/>
        <v>0</v>
      </c>
    </row>
    <row r="193" spans="2:7" x14ac:dyDescent="0.4">
      <c r="B193" s="6" t="s">
        <v>396</v>
      </c>
      <c r="C193" s="20" t="s">
        <v>397</v>
      </c>
      <c r="D193" s="17">
        <f>VLOOKUP(B193,BS!$A:$S,5,FALSE)</f>
        <v>0</v>
      </c>
      <c r="E193" s="17">
        <f>VLOOKUP(B193,BS!$A:$S,18,FALSE)</f>
        <v>0</v>
      </c>
      <c r="F193" s="18">
        <f t="shared" si="20"/>
        <v>0</v>
      </c>
      <c r="G193" s="19">
        <f t="shared" si="21"/>
        <v>0</v>
      </c>
    </row>
    <row r="194" spans="2:7" x14ac:dyDescent="0.4">
      <c r="B194" s="6" t="s">
        <v>398</v>
      </c>
      <c r="C194" s="20" t="s">
        <v>399</v>
      </c>
      <c r="D194" s="17">
        <f>VLOOKUP(B194,BS!$A:$S,5,FALSE)</f>
        <v>-7042700333.1700001</v>
      </c>
      <c r="E194" s="17">
        <f>VLOOKUP(B194,BS!$A:$S,18,FALSE)</f>
        <v>-7032954586.2200003</v>
      </c>
      <c r="F194" s="18">
        <f t="shared" si="20"/>
        <v>9745746.9499998093</v>
      </c>
      <c r="G194" s="19">
        <f t="shared" si="21"/>
        <v>-1.3838082679876196E-3</v>
      </c>
    </row>
    <row r="195" spans="2:7" x14ac:dyDescent="0.4">
      <c r="B195" s="6" t="s">
        <v>400</v>
      </c>
      <c r="C195" s="20" t="s">
        <v>401</v>
      </c>
      <c r="D195" s="17">
        <f>VLOOKUP(B195,BS!$A:$S,5,FALSE)</f>
        <v>9745746.9499999993</v>
      </c>
      <c r="E195" s="17">
        <f>VLOOKUP(B195,BS!$A:$S,18,FALSE)</f>
        <v>-955007745.25999999</v>
      </c>
      <c r="F195" s="18">
        <f t="shared" si="20"/>
        <v>-964753492.21000004</v>
      </c>
      <c r="G195" s="19">
        <f t="shared" si="21"/>
        <v>-98.992257562156396</v>
      </c>
    </row>
    <row r="196" spans="2:7" x14ac:dyDescent="0.4">
      <c r="B196" s="15" t="s">
        <v>402</v>
      </c>
      <c r="C196" s="16" t="s">
        <v>403</v>
      </c>
      <c r="D196" s="17">
        <f>VLOOKUP(B196,BS!$A:$S,5,FALSE)</f>
        <v>0</v>
      </c>
      <c r="E196" s="17">
        <f>VLOOKUP(B196,BS!$A:$S,18,FALSE)</f>
        <v>0</v>
      </c>
      <c r="F196" s="18">
        <f t="shared" ref="F196:F205" si="26">E196-D196</f>
        <v>0</v>
      </c>
      <c r="G196" s="19">
        <f t="shared" ref="G196:G205" si="27">IFERROR(F196/D196,0)</f>
        <v>0</v>
      </c>
    </row>
    <row r="197" spans="2:7" x14ac:dyDescent="0.4">
      <c r="B197" s="6" t="s">
        <v>404</v>
      </c>
      <c r="C197" s="20" t="s">
        <v>405</v>
      </c>
      <c r="D197" s="17">
        <f>VLOOKUP(B197,BS!$A:$S,5,FALSE)</f>
        <v>0</v>
      </c>
      <c r="E197" s="17">
        <f>VLOOKUP(B197,BS!$A:$S,18,FALSE)</f>
        <v>0</v>
      </c>
      <c r="F197" s="18">
        <f t="shared" si="26"/>
        <v>0</v>
      </c>
      <c r="G197" s="19">
        <f t="shared" si="27"/>
        <v>0</v>
      </c>
    </row>
    <row r="198" spans="2:7" x14ac:dyDescent="0.4">
      <c r="B198" s="6" t="s">
        <v>406</v>
      </c>
      <c r="C198" s="20" t="s">
        <v>407</v>
      </c>
      <c r="D198" s="17">
        <f>VLOOKUP(B198,BS!$A:$S,5,FALSE)</f>
        <v>0</v>
      </c>
      <c r="E198" s="17">
        <f>VLOOKUP(B198,BS!$A:$S,18,FALSE)</f>
        <v>0</v>
      </c>
      <c r="F198" s="18">
        <f t="shared" si="26"/>
        <v>0</v>
      </c>
      <c r="G198" s="19">
        <f t="shared" si="27"/>
        <v>0</v>
      </c>
    </row>
    <row r="199" spans="2:7" x14ac:dyDescent="0.4">
      <c r="B199" s="6" t="s">
        <v>408</v>
      </c>
      <c r="C199" s="20" t="s">
        <v>409</v>
      </c>
      <c r="D199" s="17">
        <f>VLOOKUP(B199,BS!$A:$S,5,FALSE)</f>
        <v>0</v>
      </c>
      <c r="E199" s="17">
        <f>VLOOKUP(B199,BS!$A:$S,18,FALSE)</f>
        <v>0</v>
      </c>
      <c r="F199" s="18">
        <f t="shared" si="26"/>
        <v>0</v>
      </c>
      <c r="G199" s="19">
        <f t="shared" si="27"/>
        <v>0</v>
      </c>
    </row>
    <row r="200" spans="2:7" x14ac:dyDescent="0.4">
      <c r="B200" s="6" t="s">
        <v>410</v>
      </c>
      <c r="C200" s="20" t="s">
        <v>411</v>
      </c>
      <c r="D200" s="17">
        <f>VLOOKUP(B200,BS!$A:$S,5,FALSE)</f>
        <v>0</v>
      </c>
      <c r="E200" s="17">
        <f>VLOOKUP(B200,BS!$A:$S,18,FALSE)</f>
        <v>0</v>
      </c>
      <c r="F200" s="18">
        <f t="shared" si="26"/>
        <v>0</v>
      </c>
      <c r="G200" s="19">
        <f t="shared" si="27"/>
        <v>0</v>
      </c>
    </row>
    <row r="201" spans="2:7" x14ac:dyDescent="0.4">
      <c r="B201" s="6" t="s">
        <v>412</v>
      </c>
      <c r="C201" s="20" t="s">
        <v>413</v>
      </c>
      <c r="D201" s="17">
        <f>VLOOKUP(B201,BS!$A:$S,5,FALSE)</f>
        <v>0</v>
      </c>
      <c r="E201" s="17">
        <f>VLOOKUP(B201,BS!$A:$S,18,FALSE)</f>
        <v>0</v>
      </c>
      <c r="F201" s="18">
        <f t="shared" si="26"/>
        <v>0</v>
      </c>
      <c r="G201" s="19">
        <f t="shared" si="27"/>
        <v>0</v>
      </c>
    </row>
    <row r="202" spans="2:7" x14ac:dyDescent="0.4">
      <c r="B202" s="6" t="s">
        <v>414</v>
      </c>
      <c r="C202" s="20" t="s">
        <v>415</v>
      </c>
      <c r="D202" s="17">
        <f>VLOOKUP(B202,BS!$A:$S,5,FALSE)</f>
        <v>0</v>
      </c>
      <c r="E202" s="17">
        <f>VLOOKUP(B202,BS!$A:$S,18,FALSE)</f>
        <v>0</v>
      </c>
      <c r="F202" s="18">
        <f t="shared" si="26"/>
        <v>0</v>
      </c>
      <c r="G202" s="19">
        <f t="shared" si="27"/>
        <v>0</v>
      </c>
    </row>
    <row r="203" spans="2:7" x14ac:dyDescent="0.4">
      <c r="B203" s="6" t="s">
        <v>416</v>
      </c>
      <c r="C203" s="20" t="s">
        <v>417</v>
      </c>
      <c r="D203" s="17">
        <f>VLOOKUP(B203,BS!$A:$S,5,FALSE)</f>
        <v>0</v>
      </c>
      <c r="E203" s="17">
        <f>VLOOKUP(B203,BS!$A:$S,18,FALSE)</f>
        <v>0</v>
      </c>
      <c r="F203" s="18">
        <f t="shared" si="26"/>
        <v>0</v>
      </c>
      <c r="G203" s="19">
        <f t="shared" si="27"/>
        <v>0</v>
      </c>
    </row>
    <row r="204" spans="2:7" x14ac:dyDescent="0.4">
      <c r="B204" s="6" t="s">
        <v>418</v>
      </c>
      <c r="C204" s="20" t="s">
        <v>403</v>
      </c>
      <c r="D204" s="17">
        <f>VLOOKUP(B204,BS!$A:$S,5,FALSE)</f>
        <v>0</v>
      </c>
      <c r="E204" s="17">
        <f>VLOOKUP(B204,BS!$A:$S,18,FALSE)</f>
        <v>0</v>
      </c>
      <c r="F204" s="18">
        <f t="shared" si="26"/>
        <v>0</v>
      </c>
      <c r="G204" s="19">
        <f t="shared" si="27"/>
        <v>0</v>
      </c>
    </row>
    <row r="205" spans="2:7" x14ac:dyDescent="0.4">
      <c r="B205" s="15" t="s">
        <v>419</v>
      </c>
      <c r="C205" s="25" t="s">
        <v>420</v>
      </c>
      <c r="D205" s="22">
        <f>VLOOKUP(B205,BS!$A:$S,5,FALSE)</f>
        <v>63023901999.5</v>
      </c>
      <c r="E205" s="22">
        <f>VLOOKUP(B205,BS!$A:$S,18,FALSE)</f>
        <v>62937246474.709999</v>
      </c>
      <c r="F205" s="23">
        <f t="shared" si="26"/>
        <v>-86655524.790000916</v>
      </c>
      <c r="G205" s="24">
        <f t="shared" si="27"/>
        <v>-1.3749628639414995E-3</v>
      </c>
    </row>
  </sheetData>
  <autoFilter ref="C3:N205" xr:uid="{F0124AAA-D112-44A4-866F-85B4211F62CA}"/>
  <mergeCells count="8">
    <mergeCell ref="F2:G2"/>
    <mergeCell ref="M2:N2"/>
    <mergeCell ref="P1:Q1"/>
    <mergeCell ref="P21:Q21"/>
    <mergeCell ref="P13:Q13"/>
    <mergeCell ref="P9:Q9"/>
    <mergeCell ref="P5:Q5"/>
    <mergeCell ref="P17:Q17"/>
  </mergeCells>
  <phoneticPr fontId="3" type="noConversion"/>
  <conditionalFormatting sqref="N4:N149 G4:G205">
    <cfRule type="cellIs" dxfId="1" priority="5" operator="lessThan">
      <formula>-0.09</formula>
    </cfRule>
    <cfRule type="cellIs" dxfId="0" priority="6" operator="greaterThan">
      <formula>0.09</formula>
    </cfRule>
  </conditionalFormatting>
  <dataValidations count="1">
    <dataValidation type="textLength" allowBlank="1" showInputMessage="1" showErrorMessage="1" error="The number of entered characters exceeds the maximum number of allowed characters." sqref="B2:C1048576 I1:J1048576" xr:uid="{1434F012-8FE1-4AE5-9BFE-2F6322353B77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C6AFC-7802-46D2-A676-2ADD6E95F0FD}">
  <dimension ref="A1:AB204"/>
  <sheetViews>
    <sheetView tabSelected="1" topLeftCell="D72" zoomScale="85" zoomScaleNormal="85" workbookViewId="0">
      <selection activeCell="Y95" sqref="Y95"/>
    </sheetView>
  </sheetViews>
  <sheetFormatPr defaultColWidth="7.19921875" defaultRowHeight="10.8" x14ac:dyDescent="0.4"/>
  <cols>
    <col min="1" max="1" width="14" style="3" customWidth="1"/>
    <col min="2" max="2" width="18.69921875" style="4" customWidth="1"/>
    <col min="3" max="19" width="12.09765625" style="5" customWidth="1"/>
    <col min="20" max="20" width="7.19921875" style="2"/>
    <col min="21" max="21" width="7.19921875" style="1"/>
    <col min="22" max="22" width="8.19921875" style="48" bestFit="1" customWidth="1"/>
    <col min="23" max="24" width="10" style="48" bestFit="1" customWidth="1"/>
    <col min="25" max="25" width="7.296875" style="48" bestFit="1" customWidth="1"/>
    <col min="26" max="26" width="10" style="48" bestFit="1" customWidth="1"/>
    <col min="27" max="27" width="10" style="1" bestFit="1" customWidth="1"/>
    <col min="28" max="16384" width="7.19921875" style="1"/>
  </cols>
  <sheetData>
    <row r="1" spans="1:20" ht="45" customHeight="1" x14ac:dyDescent="0.4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18</v>
      </c>
      <c r="T1" s="36" t="s">
        <v>19</v>
      </c>
    </row>
    <row r="2" spans="1:20" ht="15" customHeight="1" x14ac:dyDescent="0.4">
      <c r="A2" s="37" t="s">
        <v>20</v>
      </c>
      <c r="B2" s="38" t="s">
        <v>21</v>
      </c>
      <c r="C2" s="39">
        <v>-5015938615.9200001</v>
      </c>
      <c r="D2" s="39">
        <v>53766085778.529999</v>
      </c>
      <c r="E2" s="39">
        <v>63023901999.5</v>
      </c>
      <c r="F2" s="39">
        <v>-1503553058.3299999</v>
      </c>
      <c r="G2" s="39">
        <v>-463117602.58999997</v>
      </c>
      <c r="H2" s="39">
        <v>1880015136.1300001</v>
      </c>
      <c r="I2" s="40">
        <v>0</v>
      </c>
      <c r="J2" s="40">
        <v>0</v>
      </c>
      <c r="K2" s="40">
        <v>0</v>
      </c>
      <c r="L2" s="40">
        <v>0</v>
      </c>
      <c r="M2" s="40">
        <v>0</v>
      </c>
      <c r="N2" s="40">
        <v>0</v>
      </c>
      <c r="O2" s="40">
        <v>0</v>
      </c>
      <c r="P2" s="40">
        <v>0</v>
      </c>
      <c r="Q2" s="40">
        <v>0</v>
      </c>
      <c r="R2" s="39">
        <v>62937246474.709999</v>
      </c>
      <c r="S2" s="39">
        <v>-86655524.790000007</v>
      </c>
      <c r="T2" s="41">
        <v>2</v>
      </c>
    </row>
    <row r="3" spans="1:20" ht="15" customHeight="1" x14ac:dyDescent="0.4">
      <c r="A3" s="37" t="s">
        <v>22</v>
      </c>
      <c r="B3" s="38" t="s">
        <v>23</v>
      </c>
      <c r="C3" s="39">
        <v>-4641179259.5900002</v>
      </c>
      <c r="D3" s="39">
        <v>51245878667.209999</v>
      </c>
      <c r="E3" s="39">
        <v>61589579959.879997</v>
      </c>
      <c r="F3" s="39">
        <v>-1481823342.9200001</v>
      </c>
      <c r="G3" s="39">
        <v>-464132840.32999998</v>
      </c>
      <c r="H3" s="39">
        <v>-2654463785.04</v>
      </c>
      <c r="I3" s="40">
        <v>0</v>
      </c>
      <c r="J3" s="40">
        <v>0</v>
      </c>
      <c r="K3" s="40">
        <v>0</v>
      </c>
      <c r="L3" s="40">
        <v>0</v>
      </c>
      <c r="M3" s="40">
        <v>0</v>
      </c>
      <c r="N3" s="40">
        <v>0</v>
      </c>
      <c r="O3" s="40">
        <v>0</v>
      </c>
      <c r="P3" s="40">
        <v>0</v>
      </c>
      <c r="Q3" s="40">
        <v>0</v>
      </c>
      <c r="R3" s="39">
        <v>56989159991.589996</v>
      </c>
      <c r="S3" s="39">
        <v>-4600419968.29</v>
      </c>
      <c r="T3" s="41">
        <v>2</v>
      </c>
    </row>
    <row r="4" spans="1:20" ht="15" customHeight="1" x14ac:dyDescent="0.4">
      <c r="A4" s="37" t="s">
        <v>24</v>
      </c>
      <c r="B4" s="38" t="s">
        <v>25</v>
      </c>
      <c r="C4" s="39">
        <v>-5607745886</v>
      </c>
      <c r="D4" s="39">
        <v>26232473778.98</v>
      </c>
      <c r="E4" s="39">
        <v>38553402678.349998</v>
      </c>
      <c r="F4" s="39">
        <v>-2550475456.1799998</v>
      </c>
      <c r="G4" s="39">
        <v>-1536296639.46</v>
      </c>
      <c r="H4" s="39">
        <v>-2467702305.1900001</v>
      </c>
      <c r="I4" s="40">
        <v>0</v>
      </c>
      <c r="J4" s="40">
        <v>0</v>
      </c>
      <c r="K4" s="40">
        <v>0</v>
      </c>
      <c r="L4" s="40">
        <v>0</v>
      </c>
      <c r="M4" s="40">
        <v>0</v>
      </c>
      <c r="N4" s="40">
        <v>0</v>
      </c>
      <c r="O4" s="40">
        <v>0</v>
      </c>
      <c r="P4" s="40">
        <v>0</v>
      </c>
      <c r="Q4" s="40">
        <v>0</v>
      </c>
      <c r="R4" s="39">
        <v>31998928277.52</v>
      </c>
      <c r="S4" s="39">
        <v>-6554474400.8299999</v>
      </c>
      <c r="T4" s="41">
        <v>2</v>
      </c>
    </row>
    <row r="5" spans="1:20" ht="15" customHeight="1" x14ac:dyDescent="0.4">
      <c r="A5" s="42" t="s">
        <v>26</v>
      </c>
      <c r="B5" s="41" t="s">
        <v>27</v>
      </c>
      <c r="C5" s="43">
        <v>-3389793110.1999998</v>
      </c>
      <c r="D5" s="43">
        <v>2735447666.9499998</v>
      </c>
      <c r="E5" s="43">
        <v>8037982757.5699997</v>
      </c>
      <c r="F5" s="43">
        <v>-1138245953.3199999</v>
      </c>
      <c r="G5" s="43">
        <v>-950991971.23000002</v>
      </c>
      <c r="H5" s="43">
        <v>-1363936382.02</v>
      </c>
      <c r="I5" s="44">
        <v>0</v>
      </c>
      <c r="J5" s="44">
        <v>0</v>
      </c>
      <c r="K5" s="44">
        <v>0</v>
      </c>
      <c r="L5" s="44">
        <v>0</v>
      </c>
      <c r="M5" s="44">
        <v>0</v>
      </c>
      <c r="N5" s="44">
        <v>0</v>
      </c>
      <c r="O5" s="44">
        <v>0</v>
      </c>
      <c r="P5" s="44">
        <v>0</v>
      </c>
      <c r="Q5" s="44">
        <v>0</v>
      </c>
      <c r="R5" s="43">
        <v>4584808451</v>
      </c>
      <c r="S5" s="43">
        <v>-3453174306.5700002</v>
      </c>
      <c r="T5" s="41">
        <v>1</v>
      </c>
    </row>
    <row r="6" spans="1:20" ht="15" customHeight="1" x14ac:dyDescent="0.4">
      <c r="A6" s="42" t="s">
        <v>28</v>
      </c>
      <c r="B6" s="41" t="s">
        <v>29</v>
      </c>
      <c r="C6" s="44">
        <v>0</v>
      </c>
      <c r="D6" s="44">
        <v>0</v>
      </c>
      <c r="E6" s="44">
        <v>0</v>
      </c>
      <c r="F6" s="44">
        <v>0</v>
      </c>
      <c r="G6" s="44">
        <v>0</v>
      </c>
      <c r="H6" s="44">
        <v>0</v>
      </c>
      <c r="I6" s="44">
        <v>0</v>
      </c>
      <c r="J6" s="44">
        <v>0</v>
      </c>
      <c r="K6" s="44">
        <v>0</v>
      </c>
      <c r="L6" s="44">
        <v>0</v>
      </c>
      <c r="M6" s="44">
        <v>0</v>
      </c>
      <c r="N6" s="44">
        <v>0</v>
      </c>
      <c r="O6" s="44">
        <v>0</v>
      </c>
      <c r="P6" s="44">
        <v>0</v>
      </c>
      <c r="Q6" s="44">
        <v>0</v>
      </c>
      <c r="R6" s="44">
        <v>0</v>
      </c>
      <c r="S6" s="44">
        <v>0</v>
      </c>
      <c r="T6" s="41">
        <v>1</v>
      </c>
    </row>
    <row r="7" spans="1:20" ht="15" customHeight="1" x14ac:dyDescent="0.4">
      <c r="A7" s="42" t="s">
        <v>30</v>
      </c>
      <c r="B7" s="41" t="s">
        <v>31</v>
      </c>
      <c r="C7" s="44">
        <v>0</v>
      </c>
      <c r="D7" s="44">
        <v>0</v>
      </c>
      <c r="E7" s="44">
        <v>0</v>
      </c>
      <c r="F7" s="44">
        <v>0</v>
      </c>
      <c r="G7" s="44">
        <v>0</v>
      </c>
      <c r="H7" s="44">
        <v>0</v>
      </c>
      <c r="I7" s="44">
        <v>0</v>
      </c>
      <c r="J7" s="44"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44">
        <v>0</v>
      </c>
      <c r="Q7" s="44">
        <v>0</v>
      </c>
      <c r="R7" s="44">
        <v>0</v>
      </c>
      <c r="S7" s="44">
        <v>0</v>
      </c>
      <c r="T7" s="41">
        <v>1</v>
      </c>
    </row>
    <row r="8" spans="1:20" ht="15" customHeight="1" x14ac:dyDescent="0.4">
      <c r="A8" s="42" t="s">
        <v>32</v>
      </c>
      <c r="B8" s="41" t="s">
        <v>33</v>
      </c>
      <c r="C8" s="44">
        <v>0</v>
      </c>
      <c r="D8" s="44">
        <v>0</v>
      </c>
      <c r="E8" s="44">
        <v>0</v>
      </c>
      <c r="F8" s="44">
        <v>0</v>
      </c>
      <c r="G8" s="44">
        <v>0</v>
      </c>
      <c r="H8" s="44">
        <v>0</v>
      </c>
      <c r="I8" s="44">
        <v>0</v>
      </c>
      <c r="J8" s="44">
        <v>0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44">
        <v>0</v>
      </c>
      <c r="Q8" s="44">
        <v>0</v>
      </c>
      <c r="R8" s="44">
        <v>0</v>
      </c>
      <c r="S8" s="44">
        <v>0</v>
      </c>
      <c r="T8" s="41">
        <v>1</v>
      </c>
    </row>
    <row r="9" spans="1:20" ht="15" customHeight="1" x14ac:dyDescent="0.4">
      <c r="A9" s="42" t="s">
        <v>34</v>
      </c>
      <c r="B9" s="41" t="s">
        <v>35</v>
      </c>
      <c r="C9" s="44">
        <v>0</v>
      </c>
      <c r="D9" s="44">
        <v>0</v>
      </c>
      <c r="E9" s="44">
        <v>0</v>
      </c>
      <c r="F9" s="44">
        <v>0</v>
      </c>
      <c r="G9" s="44">
        <v>0</v>
      </c>
      <c r="H9" s="44">
        <v>0</v>
      </c>
      <c r="I9" s="44">
        <v>0</v>
      </c>
      <c r="J9" s="44">
        <v>0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44">
        <v>0</v>
      </c>
      <c r="Q9" s="44">
        <v>0</v>
      </c>
      <c r="R9" s="44">
        <v>0</v>
      </c>
      <c r="S9" s="44">
        <v>0</v>
      </c>
      <c r="T9" s="41">
        <v>1</v>
      </c>
    </row>
    <row r="10" spans="1:20" ht="15" customHeight="1" x14ac:dyDescent="0.4">
      <c r="A10" s="42" t="s">
        <v>36</v>
      </c>
      <c r="B10" s="41" t="s">
        <v>37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44">
        <v>0</v>
      </c>
      <c r="Q10" s="44">
        <v>0</v>
      </c>
      <c r="R10" s="44">
        <v>0</v>
      </c>
      <c r="S10" s="44">
        <v>0</v>
      </c>
      <c r="T10" s="41">
        <v>1</v>
      </c>
    </row>
    <row r="11" spans="1:20" ht="15" customHeight="1" x14ac:dyDescent="0.4">
      <c r="A11" s="42" t="s">
        <v>38</v>
      </c>
      <c r="B11" s="41" t="s">
        <v>39</v>
      </c>
      <c r="C11" s="43">
        <v>-1302383836</v>
      </c>
      <c r="D11" s="43">
        <v>22595010552</v>
      </c>
      <c r="E11" s="43">
        <v>27774499433.84</v>
      </c>
      <c r="F11" s="43">
        <v>-828616880.49000001</v>
      </c>
      <c r="G11" s="43">
        <v>-995128025.35000002</v>
      </c>
      <c r="H11" s="43">
        <v>-594615168.64999998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44">
        <v>0</v>
      </c>
      <c r="Q11" s="44">
        <v>0</v>
      </c>
      <c r="R11" s="43">
        <v>25356139359.349998</v>
      </c>
      <c r="S11" s="43">
        <v>-2418360074.4899998</v>
      </c>
      <c r="T11" s="41">
        <v>1</v>
      </c>
    </row>
    <row r="12" spans="1:20" ht="15" customHeight="1" x14ac:dyDescent="0.4">
      <c r="A12" s="42" t="s">
        <v>40</v>
      </c>
      <c r="B12" s="41" t="s">
        <v>41</v>
      </c>
      <c r="C12" s="43">
        <v>-403308705.76999998</v>
      </c>
      <c r="D12" s="43">
        <v>-1133309195.05</v>
      </c>
      <c r="E12" s="43">
        <v>-465989173</v>
      </c>
      <c r="F12" s="43">
        <v>-8660191</v>
      </c>
      <c r="G12" s="43">
        <v>-7277418.7000000002</v>
      </c>
      <c r="H12" s="43">
        <v>-28336237.300000001</v>
      </c>
      <c r="I12" s="44">
        <v>0</v>
      </c>
      <c r="J12" s="44">
        <v>0</v>
      </c>
      <c r="K12" s="44">
        <v>0</v>
      </c>
      <c r="L12" s="44">
        <v>0</v>
      </c>
      <c r="M12" s="44">
        <v>0</v>
      </c>
      <c r="N12" s="44">
        <v>0</v>
      </c>
      <c r="O12" s="44">
        <v>0</v>
      </c>
      <c r="P12" s="44">
        <v>0</v>
      </c>
      <c r="Q12" s="44">
        <v>0</v>
      </c>
      <c r="R12" s="43">
        <v>-510263020</v>
      </c>
      <c r="S12" s="43">
        <v>-44273847</v>
      </c>
      <c r="T12" s="41">
        <v>1</v>
      </c>
    </row>
    <row r="13" spans="1:20" ht="15" customHeight="1" x14ac:dyDescent="0.4">
      <c r="A13" s="42" t="s">
        <v>42</v>
      </c>
      <c r="B13" s="41" t="s">
        <v>43</v>
      </c>
      <c r="C13" s="44">
        <v>0</v>
      </c>
      <c r="D13" s="44">
        <v>0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44">
        <v>0</v>
      </c>
      <c r="K13" s="44">
        <v>0</v>
      </c>
      <c r="L13" s="44">
        <v>0</v>
      </c>
      <c r="M13" s="44">
        <v>0</v>
      </c>
      <c r="N13" s="44">
        <v>0</v>
      </c>
      <c r="O13" s="44">
        <v>0</v>
      </c>
      <c r="P13" s="44">
        <v>0</v>
      </c>
      <c r="Q13" s="44">
        <v>0</v>
      </c>
      <c r="R13" s="44">
        <v>0</v>
      </c>
      <c r="S13" s="44">
        <v>0</v>
      </c>
      <c r="T13" s="41">
        <v>1</v>
      </c>
    </row>
    <row r="14" spans="1:20" ht="15" customHeight="1" x14ac:dyDescent="0.4">
      <c r="A14" s="42" t="s">
        <v>44</v>
      </c>
      <c r="B14" s="41" t="s">
        <v>45</v>
      </c>
      <c r="C14" s="43">
        <v>-269192584.01999998</v>
      </c>
      <c r="D14" s="43">
        <v>68990294.109999999</v>
      </c>
      <c r="E14" s="43">
        <v>402992549.94</v>
      </c>
      <c r="F14" s="43">
        <v>16941760</v>
      </c>
      <c r="G14" s="43">
        <v>72101160.269999996</v>
      </c>
      <c r="H14" s="43">
        <v>-343502882.99000001</v>
      </c>
      <c r="I14" s="44">
        <v>0</v>
      </c>
      <c r="J14" s="44">
        <v>0</v>
      </c>
      <c r="K14" s="44">
        <v>0</v>
      </c>
      <c r="L14" s="44">
        <v>0</v>
      </c>
      <c r="M14" s="44">
        <v>0</v>
      </c>
      <c r="N14" s="44">
        <v>0</v>
      </c>
      <c r="O14" s="44">
        <v>0</v>
      </c>
      <c r="P14" s="44">
        <v>0</v>
      </c>
      <c r="Q14" s="44">
        <v>0</v>
      </c>
      <c r="R14" s="43">
        <v>148532587.22</v>
      </c>
      <c r="S14" s="43">
        <v>-254459962.72</v>
      </c>
      <c r="T14" s="41">
        <v>1</v>
      </c>
    </row>
    <row r="15" spans="1:20" ht="15" customHeight="1" x14ac:dyDescent="0.4">
      <c r="A15" s="42" t="s">
        <v>46</v>
      </c>
      <c r="B15" s="41" t="s">
        <v>47</v>
      </c>
      <c r="C15" s="44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44">
        <v>0</v>
      </c>
      <c r="M15" s="44">
        <v>0</v>
      </c>
      <c r="N15" s="44">
        <v>0</v>
      </c>
      <c r="O15" s="44">
        <v>0</v>
      </c>
      <c r="P15" s="44">
        <v>0</v>
      </c>
      <c r="Q15" s="44">
        <v>0</v>
      </c>
      <c r="R15" s="44">
        <v>0</v>
      </c>
      <c r="S15" s="44">
        <v>0</v>
      </c>
      <c r="T15" s="41">
        <v>1</v>
      </c>
    </row>
    <row r="16" spans="1:20" ht="15" customHeight="1" x14ac:dyDescent="0.4">
      <c r="A16" s="42" t="s">
        <v>48</v>
      </c>
      <c r="B16" s="41" t="s">
        <v>49</v>
      </c>
      <c r="C16" s="44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0</v>
      </c>
      <c r="O16" s="44">
        <v>0</v>
      </c>
      <c r="P16" s="44">
        <v>0</v>
      </c>
      <c r="Q16" s="44">
        <v>0</v>
      </c>
      <c r="R16" s="44">
        <v>0</v>
      </c>
      <c r="S16" s="44">
        <v>0</v>
      </c>
      <c r="T16" s="41">
        <v>1</v>
      </c>
    </row>
    <row r="17" spans="1:20" ht="15" customHeight="1" x14ac:dyDescent="0.4">
      <c r="A17" s="42" t="s">
        <v>50</v>
      </c>
      <c r="B17" s="41" t="s">
        <v>51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1">
        <v>1</v>
      </c>
    </row>
    <row r="18" spans="1:20" ht="15" customHeight="1" x14ac:dyDescent="0.4">
      <c r="A18" s="42" t="s">
        <v>52</v>
      </c>
      <c r="B18" s="41" t="s">
        <v>53</v>
      </c>
      <c r="C18" s="44">
        <v>0</v>
      </c>
      <c r="D18" s="44">
        <v>0</v>
      </c>
      <c r="E18" s="43">
        <v>628215.49</v>
      </c>
      <c r="F18" s="43">
        <v>-628215.49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3">
        <v>-628215.49</v>
      </c>
      <c r="T18" s="41">
        <v>1</v>
      </c>
    </row>
    <row r="19" spans="1:20" ht="15" customHeight="1" x14ac:dyDescent="0.4">
      <c r="A19" s="42" t="s">
        <v>54</v>
      </c>
      <c r="B19" s="41" t="s">
        <v>55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1">
        <v>1</v>
      </c>
    </row>
    <row r="20" spans="1:20" ht="15" customHeight="1" x14ac:dyDescent="0.4">
      <c r="A20" s="42" t="s">
        <v>56</v>
      </c>
      <c r="B20" s="41" t="s">
        <v>57</v>
      </c>
      <c r="C20" s="44">
        <v>0</v>
      </c>
      <c r="D20" s="44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v>0</v>
      </c>
      <c r="L20" s="44">
        <v>0</v>
      </c>
      <c r="M20" s="44">
        <v>0</v>
      </c>
      <c r="N20" s="44">
        <v>0</v>
      </c>
      <c r="O20" s="44">
        <v>0</v>
      </c>
      <c r="P20" s="44">
        <v>0</v>
      </c>
      <c r="Q20" s="44">
        <v>0</v>
      </c>
      <c r="R20" s="44">
        <v>0</v>
      </c>
      <c r="S20" s="44">
        <v>0</v>
      </c>
      <c r="T20" s="41">
        <v>1</v>
      </c>
    </row>
    <row r="21" spans="1:20" ht="15" customHeight="1" x14ac:dyDescent="0.4">
      <c r="A21" s="42" t="s">
        <v>58</v>
      </c>
      <c r="B21" s="41" t="s">
        <v>59</v>
      </c>
      <c r="C21" s="43">
        <v>-128660929.12</v>
      </c>
      <c r="D21" s="43">
        <v>269241736.42000002</v>
      </c>
      <c r="E21" s="43">
        <v>305559877.22000003</v>
      </c>
      <c r="F21" s="43">
        <v>-60004166.920000002</v>
      </c>
      <c r="G21" s="43">
        <v>24585826.239999998</v>
      </c>
      <c r="H21" s="43">
        <v>-40763145.189999998</v>
      </c>
      <c r="I21" s="44">
        <v>0</v>
      </c>
      <c r="J21" s="44">
        <v>0</v>
      </c>
      <c r="K21" s="44">
        <v>0</v>
      </c>
      <c r="L21" s="44">
        <v>0</v>
      </c>
      <c r="M21" s="44">
        <v>0</v>
      </c>
      <c r="N21" s="44">
        <v>0</v>
      </c>
      <c r="O21" s="44">
        <v>0</v>
      </c>
      <c r="P21" s="44">
        <v>0</v>
      </c>
      <c r="Q21" s="44">
        <v>0</v>
      </c>
      <c r="R21" s="43">
        <v>229378391.34999999</v>
      </c>
      <c r="S21" s="43">
        <v>-76181485.870000005</v>
      </c>
      <c r="T21" s="41">
        <v>1</v>
      </c>
    </row>
    <row r="22" spans="1:20" ht="15" customHeight="1" x14ac:dyDescent="0.4">
      <c r="A22" s="42" t="s">
        <v>60</v>
      </c>
      <c r="B22" s="41" t="s">
        <v>61</v>
      </c>
      <c r="C22" s="44">
        <v>0</v>
      </c>
      <c r="D22" s="44">
        <v>0</v>
      </c>
      <c r="E22" s="44">
        <v>0</v>
      </c>
      <c r="F22" s="44">
        <v>0</v>
      </c>
      <c r="G22" s="44">
        <v>0</v>
      </c>
      <c r="H22" s="44">
        <v>0</v>
      </c>
      <c r="I22" s="44">
        <v>0</v>
      </c>
      <c r="J22" s="44">
        <v>0</v>
      </c>
      <c r="K22" s="44">
        <v>0</v>
      </c>
      <c r="L22" s="44">
        <v>0</v>
      </c>
      <c r="M22" s="44">
        <v>0</v>
      </c>
      <c r="N22" s="44">
        <v>0</v>
      </c>
      <c r="O22" s="44">
        <v>0</v>
      </c>
      <c r="P22" s="44">
        <v>0</v>
      </c>
      <c r="Q22" s="44">
        <v>0</v>
      </c>
      <c r="R22" s="44">
        <v>0</v>
      </c>
      <c r="S22" s="44">
        <v>0</v>
      </c>
      <c r="T22" s="41">
        <v>1</v>
      </c>
    </row>
    <row r="23" spans="1:20" ht="15" customHeight="1" x14ac:dyDescent="0.4">
      <c r="A23" s="42" t="s">
        <v>62</v>
      </c>
      <c r="B23" s="41" t="s">
        <v>63</v>
      </c>
      <c r="C23" s="43">
        <v>-169206522</v>
      </c>
      <c r="D23" s="44">
        <v>0</v>
      </c>
      <c r="E23" s="43">
        <v>360181000</v>
      </c>
      <c r="F23" s="43">
        <v>-360181000</v>
      </c>
      <c r="G23" s="44">
        <v>0</v>
      </c>
      <c r="H23" s="44">
        <v>0</v>
      </c>
      <c r="I23" s="44">
        <v>0</v>
      </c>
      <c r="J23" s="44">
        <v>0</v>
      </c>
      <c r="K23" s="44">
        <v>0</v>
      </c>
      <c r="L23" s="44">
        <v>0</v>
      </c>
      <c r="M23" s="44">
        <v>0</v>
      </c>
      <c r="N23" s="44">
        <v>0</v>
      </c>
      <c r="O23" s="44">
        <v>0</v>
      </c>
      <c r="P23" s="44">
        <v>0</v>
      </c>
      <c r="Q23" s="44">
        <v>0</v>
      </c>
      <c r="R23" s="44">
        <v>0</v>
      </c>
      <c r="S23" s="43">
        <v>-360181000</v>
      </c>
      <c r="T23" s="41">
        <v>1</v>
      </c>
    </row>
    <row r="24" spans="1:20" ht="15" customHeight="1" x14ac:dyDescent="0.4">
      <c r="A24" s="42" t="s">
        <v>64</v>
      </c>
      <c r="B24" s="41" t="s">
        <v>65</v>
      </c>
      <c r="C24" s="43">
        <v>17811000</v>
      </c>
      <c r="D24" s="43">
        <v>181869516.41</v>
      </c>
      <c r="E24" s="43">
        <v>582127104.49000001</v>
      </c>
      <c r="F24" s="43">
        <v>117866562.62</v>
      </c>
      <c r="G24" s="43">
        <v>-34678504.490000002</v>
      </c>
      <c r="H24" s="44">
        <v>0</v>
      </c>
      <c r="I24" s="44">
        <v>0</v>
      </c>
      <c r="J24" s="44">
        <v>0</v>
      </c>
      <c r="K24" s="44">
        <v>0</v>
      </c>
      <c r="L24" s="44">
        <v>0</v>
      </c>
      <c r="M24" s="44">
        <v>0</v>
      </c>
      <c r="N24" s="44">
        <v>0</v>
      </c>
      <c r="O24" s="44">
        <v>0</v>
      </c>
      <c r="P24" s="44">
        <v>0</v>
      </c>
      <c r="Q24" s="44">
        <v>0</v>
      </c>
      <c r="R24" s="43">
        <v>665315162.62</v>
      </c>
      <c r="S24" s="43">
        <v>83188058.129999995</v>
      </c>
      <c r="T24" s="41">
        <v>1</v>
      </c>
    </row>
    <row r="25" spans="1:20" ht="15" customHeight="1" x14ac:dyDescent="0.4">
      <c r="A25" s="42" t="s">
        <v>66</v>
      </c>
      <c r="B25" s="41" t="s">
        <v>67</v>
      </c>
      <c r="C25" s="43">
        <v>240249133.11000001</v>
      </c>
      <c r="D25" s="43">
        <v>717751466.13999999</v>
      </c>
      <c r="E25" s="43">
        <v>580568999.79999995</v>
      </c>
      <c r="F25" s="43">
        <v>-217501749.58000001</v>
      </c>
      <c r="G25" s="43">
        <v>229457844.80000001</v>
      </c>
      <c r="H25" s="43">
        <v>-13960050.039999999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3">
        <v>578565044.98000002</v>
      </c>
      <c r="S25" s="43">
        <v>-2003954.82</v>
      </c>
      <c r="T25" s="41">
        <v>1</v>
      </c>
    </row>
    <row r="26" spans="1:20" ht="15" customHeight="1" x14ac:dyDescent="0.4">
      <c r="A26" s="42" t="s">
        <v>68</v>
      </c>
      <c r="B26" s="41" t="s">
        <v>69</v>
      </c>
      <c r="C26" s="44">
        <v>0</v>
      </c>
      <c r="D26" s="44">
        <v>0</v>
      </c>
      <c r="E26" s="44">
        <v>0</v>
      </c>
      <c r="F26" s="44">
        <v>0</v>
      </c>
      <c r="G26" s="44">
        <v>0</v>
      </c>
      <c r="H26" s="44">
        <v>0</v>
      </c>
      <c r="I26" s="44">
        <v>0</v>
      </c>
      <c r="J26" s="44">
        <v>0</v>
      </c>
      <c r="K26" s="44">
        <v>0</v>
      </c>
      <c r="L26" s="44">
        <v>0</v>
      </c>
      <c r="M26" s="44">
        <v>0</v>
      </c>
      <c r="N26" s="44">
        <v>0</v>
      </c>
      <c r="O26" s="44">
        <v>0</v>
      </c>
      <c r="P26" s="44">
        <v>0</v>
      </c>
      <c r="Q26" s="44">
        <v>0</v>
      </c>
      <c r="R26" s="44">
        <v>0</v>
      </c>
      <c r="S26" s="44">
        <v>0</v>
      </c>
      <c r="T26" s="41">
        <v>1</v>
      </c>
    </row>
    <row r="27" spans="1:20" ht="15" customHeight="1" x14ac:dyDescent="0.4">
      <c r="A27" s="42" t="s">
        <v>70</v>
      </c>
      <c r="B27" s="41" t="s">
        <v>71</v>
      </c>
      <c r="C27" s="43">
        <v>-128178851</v>
      </c>
      <c r="D27" s="43">
        <v>507189360</v>
      </c>
      <c r="E27" s="43">
        <v>518793938</v>
      </c>
      <c r="F27" s="43">
        <v>-15635496</v>
      </c>
      <c r="G27" s="43">
        <v>132315883</v>
      </c>
      <c r="H27" s="43">
        <v>-97440462</v>
      </c>
      <c r="I27" s="44">
        <v>0</v>
      </c>
      <c r="J27" s="44">
        <v>0</v>
      </c>
      <c r="K27" s="44">
        <v>0</v>
      </c>
      <c r="L27" s="44">
        <v>0</v>
      </c>
      <c r="M27" s="44">
        <v>0</v>
      </c>
      <c r="N27" s="44">
        <v>0</v>
      </c>
      <c r="O27" s="44">
        <v>0</v>
      </c>
      <c r="P27" s="44">
        <v>0</v>
      </c>
      <c r="Q27" s="44">
        <v>0</v>
      </c>
      <c r="R27" s="43">
        <v>538033863</v>
      </c>
      <c r="S27" s="43">
        <v>19239925</v>
      </c>
      <c r="T27" s="41">
        <v>1</v>
      </c>
    </row>
    <row r="28" spans="1:20" ht="15" customHeight="1" x14ac:dyDescent="0.4">
      <c r="A28" s="42" t="s">
        <v>72</v>
      </c>
      <c r="B28" s="41" t="s">
        <v>73</v>
      </c>
      <c r="C28" s="43">
        <v>-75081481</v>
      </c>
      <c r="D28" s="43">
        <v>290282382</v>
      </c>
      <c r="E28" s="43">
        <v>456057975</v>
      </c>
      <c r="F28" s="43">
        <v>-55810126</v>
      </c>
      <c r="G28" s="43">
        <v>-6681434</v>
      </c>
      <c r="H28" s="43">
        <v>14852023</v>
      </c>
      <c r="I28" s="44">
        <v>0</v>
      </c>
      <c r="J28" s="44">
        <v>0</v>
      </c>
      <c r="K28" s="44">
        <v>0</v>
      </c>
      <c r="L28" s="44">
        <v>0</v>
      </c>
      <c r="M28" s="44">
        <v>0</v>
      </c>
      <c r="N28" s="44">
        <v>0</v>
      </c>
      <c r="O28" s="44">
        <v>0</v>
      </c>
      <c r="P28" s="44">
        <v>0</v>
      </c>
      <c r="Q28" s="44">
        <v>0</v>
      </c>
      <c r="R28" s="43">
        <v>408418438</v>
      </c>
      <c r="S28" s="43">
        <v>-47639537</v>
      </c>
      <c r="T28" s="41">
        <v>1</v>
      </c>
    </row>
    <row r="29" spans="1:20" ht="15" customHeight="1" x14ac:dyDescent="0.4">
      <c r="A29" s="42" t="s">
        <v>74</v>
      </c>
      <c r="B29" s="41" t="s">
        <v>75</v>
      </c>
      <c r="C29" s="44">
        <v>0</v>
      </c>
      <c r="D29" s="44">
        <v>0</v>
      </c>
      <c r="E29" s="44">
        <v>0</v>
      </c>
      <c r="F29" s="44">
        <v>0</v>
      </c>
      <c r="G29" s="44">
        <v>0</v>
      </c>
      <c r="H29" s="44">
        <v>0</v>
      </c>
      <c r="I29" s="44">
        <v>0</v>
      </c>
      <c r="J29" s="44">
        <v>0</v>
      </c>
      <c r="K29" s="44">
        <v>0</v>
      </c>
      <c r="L29" s="44">
        <v>0</v>
      </c>
      <c r="M29" s="44">
        <v>0</v>
      </c>
      <c r="N29" s="44">
        <v>0</v>
      </c>
      <c r="O29" s="44">
        <v>0</v>
      </c>
      <c r="P29" s="44">
        <v>0</v>
      </c>
      <c r="Q29" s="44">
        <v>0</v>
      </c>
      <c r="R29" s="44">
        <v>0</v>
      </c>
      <c r="S29" s="44">
        <v>0</v>
      </c>
      <c r="T29" s="41">
        <v>1</v>
      </c>
    </row>
    <row r="30" spans="1:20" ht="15" customHeight="1" x14ac:dyDescent="0.4">
      <c r="A30" s="42" t="s">
        <v>76</v>
      </c>
      <c r="B30" s="41" t="s">
        <v>77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1">
        <v>1</v>
      </c>
    </row>
    <row r="31" spans="1:20" ht="15" customHeight="1" x14ac:dyDescent="0.4">
      <c r="A31" s="37" t="s">
        <v>78</v>
      </c>
      <c r="B31" s="38" t="s">
        <v>79</v>
      </c>
      <c r="C31" s="39">
        <v>966566626.40999997</v>
      </c>
      <c r="D31" s="39">
        <v>25013404888.23</v>
      </c>
      <c r="E31" s="39">
        <v>23036177281.529999</v>
      </c>
      <c r="F31" s="39">
        <v>1068652113.26</v>
      </c>
      <c r="G31" s="39">
        <v>1072163799.13</v>
      </c>
      <c r="H31" s="39">
        <v>-186761479.84999999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40">
        <v>0</v>
      </c>
      <c r="O31" s="40">
        <v>0</v>
      </c>
      <c r="P31" s="40">
        <v>0</v>
      </c>
      <c r="Q31" s="40">
        <v>0</v>
      </c>
      <c r="R31" s="39">
        <v>24990231714.07</v>
      </c>
      <c r="S31" s="39">
        <v>1954054432.54</v>
      </c>
      <c r="T31" s="41">
        <v>2</v>
      </c>
    </row>
    <row r="32" spans="1:20" ht="15" customHeight="1" x14ac:dyDescent="0.4">
      <c r="A32" s="37" t="s">
        <v>80</v>
      </c>
      <c r="B32" s="38" t="s">
        <v>81</v>
      </c>
      <c r="C32" s="39">
        <v>617133754.51999998</v>
      </c>
      <c r="D32" s="39">
        <v>26246524845.52</v>
      </c>
      <c r="E32" s="39">
        <v>24889807874.619999</v>
      </c>
      <c r="F32" s="39">
        <v>1062101884.38</v>
      </c>
      <c r="G32" s="39">
        <v>1082512084</v>
      </c>
      <c r="H32" s="39">
        <v>587379810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v>0</v>
      </c>
      <c r="Q32" s="40">
        <v>0</v>
      </c>
      <c r="R32" s="39">
        <v>27621801653</v>
      </c>
      <c r="S32" s="39">
        <v>2731993778.3800001</v>
      </c>
      <c r="T32" s="41">
        <v>2</v>
      </c>
    </row>
    <row r="33" spans="1:20" ht="15" customHeight="1" x14ac:dyDescent="0.4">
      <c r="A33" s="42" t="s">
        <v>82</v>
      </c>
      <c r="B33" s="41" t="s">
        <v>83</v>
      </c>
      <c r="C33" s="43">
        <v>-24909646.460000001</v>
      </c>
      <c r="D33" s="43">
        <v>5280504321.54</v>
      </c>
      <c r="E33" s="43">
        <v>4392768889</v>
      </c>
      <c r="F33" s="43">
        <v>-221761240</v>
      </c>
      <c r="G33" s="43">
        <v>-160926951</v>
      </c>
      <c r="H33" s="43">
        <v>-470825522</v>
      </c>
      <c r="I33" s="44">
        <v>0</v>
      </c>
      <c r="J33" s="44">
        <v>0</v>
      </c>
      <c r="K33" s="44">
        <v>0</v>
      </c>
      <c r="L33" s="44">
        <v>0</v>
      </c>
      <c r="M33" s="44">
        <v>0</v>
      </c>
      <c r="N33" s="44">
        <v>0</v>
      </c>
      <c r="O33" s="44">
        <v>0</v>
      </c>
      <c r="P33" s="44">
        <v>0</v>
      </c>
      <c r="Q33" s="44">
        <v>0</v>
      </c>
      <c r="R33" s="43">
        <v>3539255176</v>
      </c>
      <c r="S33" s="43">
        <v>-853513713</v>
      </c>
      <c r="T33" s="41">
        <v>1</v>
      </c>
    </row>
    <row r="34" spans="1:20" ht="15" customHeight="1" x14ac:dyDescent="0.4">
      <c r="A34" s="42" t="s">
        <v>84</v>
      </c>
      <c r="B34" s="41" t="s">
        <v>85</v>
      </c>
      <c r="C34" s="43">
        <v>664531274.15999997</v>
      </c>
      <c r="D34" s="43">
        <v>19693218408.16</v>
      </c>
      <c r="E34" s="43">
        <v>19421261229.639999</v>
      </c>
      <c r="F34" s="43">
        <v>984424422.36000001</v>
      </c>
      <c r="G34" s="43">
        <v>1237137692</v>
      </c>
      <c r="H34" s="43">
        <v>1060649193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3">
        <v>22703472537</v>
      </c>
      <c r="S34" s="43">
        <v>3282211307.3600001</v>
      </c>
      <c r="T34" s="41">
        <v>1</v>
      </c>
    </row>
    <row r="35" spans="1:20" ht="15" customHeight="1" x14ac:dyDescent="0.4">
      <c r="A35" s="42" t="s">
        <v>86</v>
      </c>
      <c r="B35" s="41" t="s">
        <v>87</v>
      </c>
      <c r="C35" s="43">
        <v>-22487873.18</v>
      </c>
      <c r="D35" s="43">
        <v>1088181315.8199999</v>
      </c>
      <c r="E35" s="43">
        <v>793030643</v>
      </c>
      <c r="F35" s="43">
        <v>311286548</v>
      </c>
      <c r="G35" s="43">
        <v>6417744</v>
      </c>
      <c r="H35" s="43">
        <v>-2966209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3">
        <v>1107768726</v>
      </c>
      <c r="S35" s="43">
        <v>314738083</v>
      </c>
      <c r="T35" s="41">
        <v>1</v>
      </c>
    </row>
    <row r="36" spans="1:20" ht="15" customHeight="1" x14ac:dyDescent="0.4">
      <c r="A36" s="42" t="s">
        <v>88</v>
      </c>
      <c r="B36" s="41" t="s">
        <v>89</v>
      </c>
      <c r="C36" s="44">
        <v>0</v>
      </c>
      <c r="D36" s="43">
        <v>184620800</v>
      </c>
      <c r="E36" s="43">
        <v>196003041.97999999</v>
      </c>
      <c r="F36" s="43">
        <v>-11382241.98</v>
      </c>
      <c r="G36" s="44">
        <v>0</v>
      </c>
      <c r="H36" s="44">
        <v>0</v>
      </c>
      <c r="I36" s="44">
        <v>0</v>
      </c>
      <c r="J36" s="44">
        <v>0</v>
      </c>
      <c r="K36" s="44">
        <v>0</v>
      </c>
      <c r="L36" s="44">
        <v>0</v>
      </c>
      <c r="M36" s="44">
        <v>0</v>
      </c>
      <c r="N36" s="44">
        <v>0</v>
      </c>
      <c r="O36" s="44">
        <v>0</v>
      </c>
      <c r="P36" s="44">
        <v>0</v>
      </c>
      <c r="Q36" s="44">
        <v>0</v>
      </c>
      <c r="R36" s="43">
        <v>184620800</v>
      </c>
      <c r="S36" s="43">
        <v>-11382241.98</v>
      </c>
      <c r="T36" s="41">
        <v>1</v>
      </c>
    </row>
    <row r="37" spans="1:20" ht="15" customHeight="1" x14ac:dyDescent="0.4">
      <c r="A37" s="42" t="s">
        <v>90</v>
      </c>
      <c r="B37" s="41" t="s">
        <v>91</v>
      </c>
      <c r="C37" s="44">
        <v>0</v>
      </c>
      <c r="D37" s="44">
        <v>0</v>
      </c>
      <c r="E37" s="43">
        <v>86744071</v>
      </c>
      <c r="F37" s="43">
        <v>-465604</v>
      </c>
      <c r="G37" s="43">
        <v>-116401</v>
      </c>
      <c r="H37" s="43">
        <v>522348</v>
      </c>
      <c r="I37" s="44">
        <v>0</v>
      </c>
      <c r="J37" s="44">
        <v>0</v>
      </c>
      <c r="K37" s="44">
        <v>0</v>
      </c>
      <c r="L37" s="44">
        <v>0</v>
      </c>
      <c r="M37" s="44">
        <v>0</v>
      </c>
      <c r="N37" s="44">
        <v>0</v>
      </c>
      <c r="O37" s="44">
        <v>0</v>
      </c>
      <c r="P37" s="44">
        <v>0</v>
      </c>
      <c r="Q37" s="44">
        <v>0</v>
      </c>
      <c r="R37" s="43">
        <v>86684414</v>
      </c>
      <c r="S37" s="43">
        <v>-59657</v>
      </c>
      <c r="T37" s="41">
        <v>1</v>
      </c>
    </row>
    <row r="38" spans="1:20" ht="15" customHeight="1" x14ac:dyDescent="0.4">
      <c r="A38" s="42" t="s">
        <v>92</v>
      </c>
      <c r="B38" s="41" t="s">
        <v>93</v>
      </c>
      <c r="C38" s="43">
        <v>-67750486.5</v>
      </c>
      <c r="D38" s="43">
        <v>-1892609294</v>
      </c>
      <c r="E38" s="43">
        <v>-2061516519</v>
      </c>
      <c r="F38" s="43">
        <v>11179565</v>
      </c>
      <c r="G38" s="43">
        <v>-6651513</v>
      </c>
      <c r="H38" s="43">
        <v>103803523</v>
      </c>
      <c r="I38" s="44">
        <v>0</v>
      </c>
      <c r="J38" s="44">
        <v>0</v>
      </c>
      <c r="K38" s="44">
        <v>0</v>
      </c>
      <c r="L38" s="44">
        <v>0</v>
      </c>
      <c r="M38" s="44">
        <v>0</v>
      </c>
      <c r="N38" s="44">
        <v>0</v>
      </c>
      <c r="O38" s="44">
        <v>0</v>
      </c>
      <c r="P38" s="44">
        <v>0</v>
      </c>
      <c r="Q38" s="44">
        <v>0</v>
      </c>
      <c r="R38" s="43">
        <v>-1953184944</v>
      </c>
      <c r="S38" s="43">
        <v>108331575</v>
      </c>
      <c r="T38" s="41">
        <v>1</v>
      </c>
    </row>
    <row r="39" spans="1:20" ht="15" customHeight="1" x14ac:dyDescent="0.4">
      <c r="A39" s="42" t="s">
        <v>94</v>
      </c>
      <c r="B39" s="41" t="s">
        <v>95</v>
      </c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4">
        <v>0</v>
      </c>
      <c r="L39" s="44">
        <v>0</v>
      </c>
      <c r="M39" s="44">
        <v>0</v>
      </c>
      <c r="N39" s="44">
        <v>0</v>
      </c>
      <c r="O39" s="44">
        <v>0</v>
      </c>
      <c r="P39" s="44">
        <v>0</v>
      </c>
      <c r="Q39" s="44">
        <v>0</v>
      </c>
      <c r="R39" s="44">
        <v>0</v>
      </c>
      <c r="S39" s="44">
        <v>0</v>
      </c>
      <c r="T39" s="41">
        <v>1</v>
      </c>
    </row>
    <row r="40" spans="1:20" ht="15" customHeight="1" x14ac:dyDescent="0.4">
      <c r="A40" s="42" t="s">
        <v>96</v>
      </c>
      <c r="B40" s="41" t="s">
        <v>97</v>
      </c>
      <c r="C40" s="44">
        <v>0</v>
      </c>
      <c r="D40" s="44">
        <v>0</v>
      </c>
      <c r="E40" s="44">
        <v>0</v>
      </c>
      <c r="F40" s="44">
        <v>0</v>
      </c>
      <c r="G40" s="44">
        <v>0</v>
      </c>
      <c r="H40" s="44">
        <v>0</v>
      </c>
      <c r="I40" s="44">
        <v>0</v>
      </c>
      <c r="J40" s="44">
        <v>0</v>
      </c>
      <c r="K40" s="44">
        <v>0</v>
      </c>
      <c r="L40" s="44">
        <v>0</v>
      </c>
      <c r="M40" s="44">
        <v>0</v>
      </c>
      <c r="N40" s="44">
        <v>0</v>
      </c>
      <c r="O40" s="44">
        <v>0</v>
      </c>
      <c r="P40" s="44">
        <v>0</v>
      </c>
      <c r="Q40" s="44">
        <v>0</v>
      </c>
      <c r="R40" s="44">
        <v>0</v>
      </c>
      <c r="S40" s="44">
        <v>0</v>
      </c>
      <c r="T40" s="41">
        <v>1</v>
      </c>
    </row>
    <row r="41" spans="1:20" ht="15" customHeight="1" x14ac:dyDescent="0.4">
      <c r="A41" s="42" t="s">
        <v>98</v>
      </c>
      <c r="B41" s="41" t="s">
        <v>99</v>
      </c>
      <c r="C41" s="44">
        <v>0</v>
      </c>
      <c r="D41" s="44">
        <v>0</v>
      </c>
      <c r="E41" s="44">
        <v>0</v>
      </c>
      <c r="F41" s="44">
        <v>0</v>
      </c>
      <c r="G41" s="44">
        <v>0</v>
      </c>
      <c r="H41" s="44">
        <v>0</v>
      </c>
      <c r="I41" s="44">
        <v>0</v>
      </c>
      <c r="J41" s="44">
        <v>0</v>
      </c>
      <c r="K41" s="44">
        <v>0</v>
      </c>
      <c r="L41" s="44">
        <v>0</v>
      </c>
      <c r="M41" s="44">
        <v>0</v>
      </c>
      <c r="N41" s="44">
        <v>0</v>
      </c>
      <c r="O41" s="44">
        <v>0</v>
      </c>
      <c r="P41" s="44">
        <v>0</v>
      </c>
      <c r="Q41" s="44">
        <v>0</v>
      </c>
      <c r="R41" s="44">
        <v>0</v>
      </c>
      <c r="S41" s="44">
        <v>0</v>
      </c>
      <c r="T41" s="41">
        <v>1</v>
      </c>
    </row>
    <row r="42" spans="1:20" ht="15" customHeight="1" x14ac:dyDescent="0.4">
      <c r="A42" s="42" t="s">
        <v>100</v>
      </c>
      <c r="B42" s="41" t="s">
        <v>101</v>
      </c>
      <c r="C42" s="44">
        <v>0</v>
      </c>
      <c r="D42" s="44">
        <v>0</v>
      </c>
      <c r="E42" s="44">
        <v>0</v>
      </c>
      <c r="F42" s="44">
        <v>0</v>
      </c>
      <c r="G42" s="44">
        <v>0</v>
      </c>
      <c r="H42" s="44">
        <v>0</v>
      </c>
      <c r="I42" s="44">
        <v>0</v>
      </c>
      <c r="J42" s="44">
        <v>0</v>
      </c>
      <c r="K42" s="44">
        <v>0</v>
      </c>
      <c r="L42" s="44">
        <v>0</v>
      </c>
      <c r="M42" s="44">
        <v>0</v>
      </c>
      <c r="N42" s="44">
        <v>0</v>
      </c>
      <c r="O42" s="44">
        <v>0</v>
      </c>
      <c r="P42" s="44">
        <v>0</v>
      </c>
      <c r="Q42" s="44">
        <v>0</v>
      </c>
      <c r="R42" s="44">
        <v>0</v>
      </c>
      <c r="S42" s="44">
        <v>0</v>
      </c>
      <c r="T42" s="41">
        <v>1</v>
      </c>
    </row>
    <row r="43" spans="1:20" ht="15" customHeight="1" x14ac:dyDescent="0.4">
      <c r="A43" s="42" t="s">
        <v>102</v>
      </c>
      <c r="B43" s="41" t="s">
        <v>103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4">
        <v>0</v>
      </c>
      <c r="S43" s="44">
        <v>0</v>
      </c>
      <c r="T43" s="41">
        <v>1</v>
      </c>
    </row>
    <row r="44" spans="1:20" ht="15" customHeight="1" x14ac:dyDescent="0.4">
      <c r="A44" s="42" t="s">
        <v>104</v>
      </c>
      <c r="B44" s="41" t="s">
        <v>105</v>
      </c>
      <c r="C44" s="44">
        <v>0</v>
      </c>
      <c r="D44" s="44">
        <v>0</v>
      </c>
      <c r="E44" s="44">
        <v>0</v>
      </c>
      <c r="F44" s="44">
        <v>0</v>
      </c>
      <c r="G44" s="44">
        <v>0</v>
      </c>
      <c r="H44" s="44">
        <v>0</v>
      </c>
      <c r="I44" s="44">
        <v>0</v>
      </c>
      <c r="J44" s="44">
        <v>0</v>
      </c>
      <c r="K44" s="44">
        <v>0</v>
      </c>
      <c r="L44" s="44">
        <v>0</v>
      </c>
      <c r="M44" s="44">
        <v>0</v>
      </c>
      <c r="N44" s="44">
        <v>0</v>
      </c>
      <c r="O44" s="44">
        <v>0</v>
      </c>
      <c r="P44" s="44">
        <v>0</v>
      </c>
      <c r="Q44" s="44">
        <v>0</v>
      </c>
      <c r="R44" s="44">
        <v>0</v>
      </c>
      <c r="S44" s="44">
        <v>0</v>
      </c>
      <c r="T44" s="41">
        <v>1</v>
      </c>
    </row>
    <row r="45" spans="1:20" ht="15" customHeight="1" x14ac:dyDescent="0.4">
      <c r="A45" s="42" t="s">
        <v>106</v>
      </c>
      <c r="B45" s="41" t="s">
        <v>107</v>
      </c>
      <c r="C45" s="44">
        <v>0</v>
      </c>
      <c r="D45" s="44">
        <v>0</v>
      </c>
      <c r="E45" s="44">
        <v>0</v>
      </c>
      <c r="F45" s="44">
        <v>0</v>
      </c>
      <c r="G45" s="44">
        <v>0</v>
      </c>
      <c r="H45" s="44">
        <v>0</v>
      </c>
      <c r="I45" s="44">
        <v>0</v>
      </c>
      <c r="J45" s="44">
        <v>0</v>
      </c>
      <c r="K45" s="44">
        <v>0</v>
      </c>
      <c r="L45" s="44">
        <v>0</v>
      </c>
      <c r="M45" s="44">
        <v>0</v>
      </c>
      <c r="N45" s="44">
        <v>0</v>
      </c>
      <c r="O45" s="44">
        <v>0</v>
      </c>
      <c r="P45" s="44">
        <v>0</v>
      </c>
      <c r="Q45" s="44">
        <v>0</v>
      </c>
      <c r="R45" s="44">
        <v>0</v>
      </c>
      <c r="S45" s="44">
        <v>0</v>
      </c>
      <c r="T45" s="41">
        <v>1</v>
      </c>
    </row>
    <row r="46" spans="1:20" ht="15" customHeight="1" x14ac:dyDescent="0.4">
      <c r="A46" s="42" t="s">
        <v>108</v>
      </c>
      <c r="B46" s="41" t="s">
        <v>109</v>
      </c>
      <c r="C46" s="44">
        <v>0</v>
      </c>
      <c r="D46" s="44">
        <v>0</v>
      </c>
      <c r="E46" s="44">
        <v>0</v>
      </c>
      <c r="F46" s="44">
        <v>0</v>
      </c>
      <c r="G46" s="44">
        <v>0</v>
      </c>
      <c r="H46" s="44">
        <v>0</v>
      </c>
      <c r="I46" s="44">
        <v>0</v>
      </c>
      <c r="J46" s="44">
        <v>0</v>
      </c>
      <c r="K46" s="44">
        <v>0</v>
      </c>
      <c r="L46" s="44">
        <v>0</v>
      </c>
      <c r="M46" s="44">
        <v>0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1">
        <v>1</v>
      </c>
    </row>
    <row r="47" spans="1:20" ht="15" customHeight="1" x14ac:dyDescent="0.4">
      <c r="A47" s="42" t="s">
        <v>110</v>
      </c>
      <c r="B47" s="41" t="s">
        <v>111</v>
      </c>
      <c r="C47" s="43">
        <v>-39426684.68</v>
      </c>
      <c r="D47" s="43">
        <v>202879293.63999999</v>
      </c>
      <c r="E47" s="43">
        <v>207885925.91</v>
      </c>
      <c r="F47" s="43">
        <v>-4629336.12</v>
      </c>
      <c r="G47" s="43">
        <v>-3696771.87</v>
      </c>
      <c r="H47" s="43">
        <v>-15929801.85</v>
      </c>
      <c r="I47" s="44">
        <v>0</v>
      </c>
      <c r="J47" s="44">
        <v>0</v>
      </c>
      <c r="K47" s="44">
        <v>0</v>
      </c>
      <c r="L47" s="44">
        <v>0</v>
      </c>
      <c r="M47" s="44">
        <v>0</v>
      </c>
      <c r="N47" s="44">
        <v>0</v>
      </c>
      <c r="O47" s="44">
        <v>0</v>
      </c>
      <c r="P47" s="44">
        <v>0</v>
      </c>
      <c r="Q47" s="44">
        <v>0</v>
      </c>
      <c r="R47" s="43">
        <v>183630016.06999999</v>
      </c>
      <c r="S47" s="43">
        <v>-24255909.84</v>
      </c>
      <c r="T47" s="41">
        <v>1</v>
      </c>
    </row>
    <row r="48" spans="1:20" ht="15" customHeight="1" x14ac:dyDescent="0.4">
      <c r="A48" s="42" t="s">
        <v>112</v>
      </c>
      <c r="B48" s="41" t="s">
        <v>113</v>
      </c>
      <c r="C48" s="44">
        <v>0</v>
      </c>
      <c r="D48" s="44">
        <v>0</v>
      </c>
      <c r="E48" s="44">
        <v>0</v>
      </c>
      <c r="F48" s="44">
        <v>0</v>
      </c>
      <c r="G48" s="44">
        <v>0</v>
      </c>
      <c r="H48" s="44">
        <v>0</v>
      </c>
      <c r="I48" s="44">
        <v>0</v>
      </c>
      <c r="J48" s="44">
        <v>0</v>
      </c>
      <c r="K48" s="44">
        <v>0</v>
      </c>
      <c r="L48" s="44">
        <v>0</v>
      </c>
      <c r="M48" s="44">
        <v>0</v>
      </c>
      <c r="N48" s="44">
        <v>0</v>
      </c>
      <c r="O48" s="44">
        <v>0</v>
      </c>
      <c r="P48" s="44">
        <v>0</v>
      </c>
      <c r="Q48" s="44">
        <v>0</v>
      </c>
      <c r="R48" s="44">
        <v>0</v>
      </c>
      <c r="S48" s="44">
        <v>0</v>
      </c>
      <c r="T48" s="41">
        <v>1</v>
      </c>
    </row>
    <row r="49" spans="1:20" ht="15" customHeight="1" x14ac:dyDescent="0.4">
      <c r="A49" s="42" t="s">
        <v>114</v>
      </c>
      <c r="B49" s="41" t="s">
        <v>115</v>
      </c>
      <c r="C49" s="43">
        <v>456610043.06999999</v>
      </c>
      <c r="D49" s="43">
        <v>456610043.06999999</v>
      </c>
      <c r="E49" s="44">
        <v>0</v>
      </c>
      <c r="F49" s="44">
        <v>0</v>
      </c>
      <c r="G49" s="44">
        <v>0</v>
      </c>
      <c r="H49" s="43">
        <v>-862015011</v>
      </c>
      <c r="I49" s="44">
        <v>0</v>
      </c>
      <c r="J49" s="44">
        <v>0</v>
      </c>
      <c r="K49" s="44">
        <v>0</v>
      </c>
      <c r="L49" s="44">
        <v>0</v>
      </c>
      <c r="M49" s="44">
        <v>0</v>
      </c>
      <c r="N49" s="44">
        <v>0</v>
      </c>
      <c r="O49" s="44">
        <v>0</v>
      </c>
      <c r="P49" s="44">
        <v>0</v>
      </c>
      <c r="Q49" s="44">
        <v>0</v>
      </c>
      <c r="R49" s="43">
        <v>-862015011</v>
      </c>
      <c r="S49" s="43">
        <v>-862015011</v>
      </c>
      <c r="T49" s="41">
        <v>1</v>
      </c>
    </row>
    <row r="50" spans="1:20" ht="15" customHeight="1" x14ac:dyDescent="0.4">
      <c r="A50" s="42" t="s">
        <v>116</v>
      </c>
      <c r="B50" s="41" t="s">
        <v>117</v>
      </c>
      <c r="C50" s="44">
        <v>0</v>
      </c>
      <c r="D50" s="44">
        <v>0</v>
      </c>
      <c r="E50" s="44">
        <v>0</v>
      </c>
      <c r="F50" s="44">
        <v>0</v>
      </c>
      <c r="G50" s="44">
        <v>0</v>
      </c>
      <c r="H50" s="44">
        <v>0</v>
      </c>
      <c r="I50" s="44">
        <v>0</v>
      </c>
      <c r="J50" s="44">
        <v>0</v>
      </c>
      <c r="K50" s="44">
        <v>0</v>
      </c>
      <c r="L50" s="44">
        <v>0</v>
      </c>
      <c r="M50" s="44">
        <v>0</v>
      </c>
      <c r="N50" s="44">
        <v>0</v>
      </c>
      <c r="O50" s="44">
        <v>0</v>
      </c>
      <c r="P50" s="44">
        <v>0</v>
      </c>
      <c r="Q50" s="44">
        <v>0</v>
      </c>
      <c r="R50" s="44">
        <v>0</v>
      </c>
      <c r="S50" s="44">
        <v>0</v>
      </c>
      <c r="T50" s="41">
        <v>1</v>
      </c>
    </row>
    <row r="51" spans="1:20" ht="15" customHeight="1" x14ac:dyDescent="0.4">
      <c r="A51" s="37" t="s">
        <v>118</v>
      </c>
      <c r="B51" s="38" t="s">
        <v>119</v>
      </c>
      <c r="C51" s="39">
        <v>-374759356.32999998</v>
      </c>
      <c r="D51" s="39">
        <v>2520207111.3200002</v>
      </c>
      <c r="E51" s="39">
        <v>1434322039.6199999</v>
      </c>
      <c r="F51" s="39">
        <v>-21729715.41</v>
      </c>
      <c r="G51" s="39">
        <v>1015237.74</v>
      </c>
      <c r="H51" s="39">
        <v>4534478921.1700001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  <c r="O51" s="40">
        <v>0</v>
      </c>
      <c r="P51" s="40">
        <v>0</v>
      </c>
      <c r="Q51" s="40">
        <v>0</v>
      </c>
      <c r="R51" s="39">
        <v>5948086483.1199999</v>
      </c>
      <c r="S51" s="39">
        <v>4513764443.5</v>
      </c>
      <c r="T51" s="41">
        <v>2</v>
      </c>
    </row>
    <row r="52" spans="1:20" ht="15" customHeight="1" x14ac:dyDescent="0.4">
      <c r="A52" s="37" t="s">
        <v>120</v>
      </c>
      <c r="B52" s="38" t="s">
        <v>121</v>
      </c>
      <c r="C52" s="40">
        <v>0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>
        <v>0</v>
      </c>
      <c r="Q52" s="40">
        <v>0</v>
      </c>
      <c r="R52" s="40">
        <v>0</v>
      </c>
      <c r="S52" s="40">
        <v>0</v>
      </c>
      <c r="T52" s="41">
        <v>2</v>
      </c>
    </row>
    <row r="53" spans="1:20" ht="15" customHeight="1" x14ac:dyDescent="0.4">
      <c r="A53" s="42" t="s">
        <v>122</v>
      </c>
      <c r="B53" s="41" t="s">
        <v>123</v>
      </c>
      <c r="C53" s="44">
        <v>0</v>
      </c>
      <c r="D53" s="44">
        <v>0</v>
      </c>
      <c r="E53" s="44">
        <v>0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v>0</v>
      </c>
      <c r="L53" s="44">
        <v>0</v>
      </c>
      <c r="M53" s="44">
        <v>0</v>
      </c>
      <c r="N53" s="44">
        <v>0</v>
      </c>
      <c r="O53" s="44">
        <v>0</v>
      </c>
      <c r="P53" s="44">
        <v>0</v>
      </c>
      <c r="Q53" s="44">
        <v>0</v>
      </c>
      <c r="R53" s="44">
        <v>0</v>
      </c>
      <c r="S53" s="44">
        <v>0</v>
      </c>
      <c r="T53" s="41">
        <v>1</v>
      </c>
    </row>
    <row r="54" spans="1:20" ht="15" customHeight="1" x14ac:dyDescent="0.4">
      <c r="A54" s="42" t="s">
        <v>124</v>
      </c>
      <c r="B54" s="41" t="s">
        <v>35</v>
      </c>
      <c r="C54" s="44">
        <v>0</v>
      </c>
      <c r="D54" s="44">
        <v>0</v>
      </c>
      <c r="E54" s="44">
        <v>0</v>
      </c>
      <c r="F54" s="44">
        <v>0</v>
      </c>
      <c r="G54" s="44">
        <v>0</v>
      </c>
      <c r="H54" s="44">
        <v>0</v>
      </c>
      <c r="I54" s="44">
        <v>0</v>
      </c>
      <c r="J54" s="44">
        <v>0</v>
      </c>
      <c r="K54" s="44">
        <v>0</v>
      </c>
      <c r="L54" s="44">
        <v>0</v>
      </c>
      <c r="M54" s="44">
        <v>0</v>
      </c>
      <c r="N54" s="44">
        <v>0</v>
      </c>
      <c r="O54" s="44">
        <v>0</v>
      </c>
      <c r="P54" s="44">
        <v>0</v>
      </c>
      <c r="Q54" s="44">
        <v>0</v>
      </c>
      <c r="R54" s="44">
        <v>0</v>
      </c>
      <c r="S54" s="44">
        <v>0</v>
      </c>
      <c r="T54" s="41">
        <v>1</v>
      </c>
    </row>
    <row r="55" spans="1:20" ht="15" customHeight="1" x14ac:dyDescent="0.4">
      <c r="A55" s="42" t="s">
        <v>125</v>
      </c>
      <c r="B55" s="41" t="s">
        <v>37</v>
      </c>
      <c r="C55" s="44">
        <v>0</v>
      </c>
      <c r="D55" s="44">
        <v>0</v>
      </c>
      <c r="E55" s="44">
        <v>0</v>
      </c>
      <c r="F55" s="44">
        <v>0</v>
      </c>
      <c r="G55" s="44">
        <v>0</v>
      </c>
      <c r="H55" s="44">
        <v>0</v>
      </c>
      <c r="I55" s="44">
        <v>0</v>
      </c>
      <c r="J55" s="44">
        <v>0</v>
      </c>
      <c r="K55" s="44">
        <v>0</v>
      </c>
      <c r="L55" s="44">
        <v>0</v>
      </c>
      <c r="M55" s="44">
        <v>0</v>
      </c>
      <c r="N55" s="44">
        <v>0</v>
      </c>
      <c r="O55" s="44">
        <v>0</v>
      </c>
      <c r="P55" s="44">
        <v>0</v>
      </c>
      <c r="Q55" s="44">
        <v>0</v>
      </c>
      <c r="R55" s="44">
        <v>0</v>
      </c>
      <c r="S55" s="44">
        <v>0</v>
      </c>
      <c r="T55" s="41">
        <v>1</v>
      </c>
    </row>
    <row r="56" spans="1:20" ht="15" customHeight="1" x14ac:dyDescent="0.4">
      <c r="A56" s="42" t="s">
        <v>126</v>
      </c>
      <c r="B56" s="41" t="s">
        <v>127</v>
      </c>
      <c r="C56" s="44">
        <v>0</v>
      </c>
      <c r="D56" s="44">
        <v>0</v>
      </c>
      <c r="E56" s="44">
        <v>0</v>
      </c>
      <c r="F56" s="44">
        <v>0</v>
      </c>
      <c r="G56" s="44">
        <v>0</v>
      </c>
      <c r="H56" s="44">
        <v>0</v>
      </c>
      <c r="I56" s="44">
        <v>0</v>
      </c>
      <c r="J56" s="44">
        <v>0</v>
      </c>
      <c r="K56" s="44">
        <v>0</v>
      </c>
      <c r="L56" s="44">
        <v>0</v>
      </c>
      <c r="M56" s="44">
        <v>0</v>
      </c>
      <c r="N56" s="44">
        <v>0</v>
      </c>
      <c r="O56" s="44">
        <v>0</v>
      </c>
      <c r="P56" s="44">
        <v>0</v>
      </c>
      <c r="Q56" s="44">
        <v>0</v>
      </c>
      <c r="R56" s="44">
        <v>0</v>
      </c>
      <c r="S56" s="44">
        <v>0</v>
      </c>
      <c r="T56" s="41">
        <v>1</v>
      </c>
    </row>
    <row r="57" spans="1:20" ht="15" customHeight="1" x14ac:dyDescent="0.4">
      <c r="A57" s="42" t="s">
        <v>128</v>
      </c>
      <c r="B57" s="41" t="s">
        <v>129</v>
      </c>
      <c r="C57" s="44">
        <v>0</v>
      </c>
      <c r="D57" s="44">
        <v>0</v>
      </c>
      <c r="E57" s="44">
        <v>0</v>
      </c>
      <c r="F57" s="44">
        <v>0</v>
      </c>
      <c r="G57" s="44">
        <v>0</v>
      </c>
      <c r="H57" s="44">
        <v>0</v>
      </c>
      <c r="I57" s="44">
        <v>0</v>
      </c>
      <c r="J57" s="44">
        <v>0</v>
      </c>
      <c r="K57" s="44">
        <v>0</v>
      </c>
      <c r="L57" s="44">
        <v>0</v>
      </c>
      <c r="M57" s="44">
        <v>0</v>
      </c>
      <c r="N57" s="44">
        <v>0</v>
      </c>
      <c r="O57" s="44">
        <v>0</v>
      </c>
      <c r="P57" s="44">
        <v>0</v>
      </c>
      <c r="Q57" s="44">
        <v>0</v>
      </c>
      <c r="R57" s="44">
        <v>0</v>
      </c>
      <c r="S57" s="44">
        <v>0</v>
      </c>
      <c r="T57" s="41">
        <v>1</v>
      </c>
    </row>
    <row r="58" spans="1:20" ht="15" customHeight="1" x14ac:dyDescent="0.4">
      <c r="A58" s="42" t="s">
        <v>130</v>
      </c>
      <c r="B58" s="41" t="s">
        <v>131</v>
      </c>
      <c r="C58" s="44">
        <v>0</v>
      </c>
      <c r="D58" s="44">
        <v>0</v>
      </c>
      <c r="E58" s="44">
        <v>0</v>
      </c>
      <c r="F58" s="44">
        <v>0</v>
      </c>
      <c r="G58" s="44">
        <v>0</v>
      </c>
      <c r="H58" s="44">
        <v>0</v>
      </c>
      <c r="I58" s="44">
        <v>0</v>
      </c>
      <c r="J58" s="44">
        <v>0</v>
      </c>
      <c r="K58" s="44">
        <v>0</v>
      </c>
      <c r="L58" s="44">
        <v>0</v>
      </c>
      <c r="M58" s="44">
        <v>0</v>
      </c>
      <c r="N58" s="44">
        <v>0</v>
      </c>
      <c r="O58" s="44">
        <v>0</v>
      </c>
      <c r="P58" s="44">
        <v>0</v>
      </c>
      <c r="Q58" s="44">
        <v>0</v>
      </c>
      <c r="R58" s="44">
        <v>0</v>
      </c>
      <c r="S58" s="44">
        <v>0</v>
      </c>
      <c r="T58" s="41">
        <v>1</v>
      </c>
    </row>
    <row r="59" spans="1:20" ht="15" customHeight="1" x14ac:dyDescent="0.4">
      <c r="A59" s="42" t="s">
        <v>132</v>
      </c>
      <c r="B59" s="41" t="s">
        <v>133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4">
        <v>0</v>
      </c>
      <c r="S59" s="44">
        <v>0</v>
      </c>
      <c r="T59" s="41">
        <v>1</v>
      </c>
    </row>
    <row r="60" spans="1:20" ht="15" customHeight="1" x14ac:dyDescent="0.4">
      <c r="A60" s="42" t="s">
        <v>134</v>
      </c>
      <c r="B60" s="41" t="s">
        <v>135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>
        <v>0</v>
      </c>
      <c r="O60" s="44">
        <v>0</v>
      </c>
      <c r="P60" s="44">
        <v>0</v>
      </c>
      <c r="Q60" s="44">
        <v>0</v>
      </c>
      <c r="R60" s="44">
        <v>0</v>
      </c>
      <c r="S60" s="44">
        <v>0</v>
      </c>
      <c r="T60" s="41">
        <v>1</v>
      </c>
    </row>
    <row r="61" spans="1:20" ht="15" customHeight="1" x14ac:dyDescent="0.4">
      <c r="A61" s="42" t="s">
        <v>136</v>
      </c>
      <c r="B61" s="41" t="s">
        <v>137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v>0</v>
      </c>
      <c r="L61" s="44">
        <v>0</v>
      </c>
      <c r="M61" s="44">
        <v>0</v>
      </c>
      <c r="N61" s="44">
        <v>0</v>
      </c>
      <c r="O61" s="44">
        <v>0</v>
      </c>
      <c r="P61" s="44">
        <v>0</v>
      </c>
      <c r="Q61" s="44">
        <v>0</v>
      </c>
      <c r="R61" s="44">
        <v>0</v>
      </c>
      <c r="S61" s="44">
        <v>0</v>
      </c>
      <c r="T61" s="41">
        <v>1</v>
      </c>
    </row>
    <row r="62" spans="1:20" ht="15" customHeight="1" x14ac:dyDescent="0.4">
      <c r="A62" s="42" t="s">
        <v>138</v>
      </c>
      <c r="B62" s="41" t="s">
        <v>139</v>
      </c>
      <c r="C62" s="44">
        <v>0</v>
      </c>
      <c r="D62" s="44">
        <v>0</v>
      </c>
      <c r="E62" s="44">
        <v>0</v>
      </c>
      <c r="F62" s="44">
        <v>0</v>
      </c>
      <c r="G62" s="44">
        <v>0</v>
      </c>
      <c r="H62" s="44">
        <v>0</v>
      </c>
      <c r="I62" s="44">
        <v>0</v>
      </c>
      <c r="J62" s="44">
        <v>0</v>
      </c>
      <c r="K62" s="44">
        <v>0</v>
      </c>
      <c r="L62" s="44">
        <v>0</v>
      </c>
      <c r="M62" s="44">
        <v>0</v>
      </c>
      <c r="N62" s="44">
        <v>0</v>
      </c>
      <c r="O62" s="44">
        <v>0</v>
      </c>
      <c r="P62" s="44">
        <v>0</v>
      </c>
      <c r="Q62" s="44">
        <v>0</v>
      </c>
      <c r="R62" s="44">
        <v>0</v>
      </c>
      <c r="S62" s="44">
        <v>0</v>
      </c>
      <c r="T62" s="41">
        <v>1</v>
      </c>
    </row>
    <row r="63" spans="1:20" ht="15" customHeight="1" x14ac:dyDescent="0.4">
      <c r="A63" s="42" t="s">
        <v>140</v>
      </c>
      <c r="B63" s="41" t="s">
        <v>141</v>
      </c>
      <c r="C63" s="44">
        <v>0</v>
      </c>
      <c r="D63" s="44">
        <v>0</v>
      </c>
      <c r="E63" s="44">
        <v>0</v>
      </c>
      <c r="F63" s="44">
        <v>0</v>
      </c>
      <c r="G63" s="44">
        <v>0</v>
      </c>
      <c r="H63" s="44">
        <v>0</v>
      </c>
      <c r="I63" s="44">
        <v>0</v>
      </c>
      <c r="J63" s="44">
        <v>0</v>
      </c>
      <c r="K63" s="44">
        <v>0</v>
      </c>
      <c r="L63" s="44">
        <v>0</v>
      </c>
      <c r="M63" s="44">
        <v>0</v>
      </c>
      <c r="N63" s="44">
        <v>0</v>
      </c>
      <c r="O63" s="44">
        <v>0</v>
      </c>
      <c r="P63" s="44">
        <v>0</v>
      </c>
      <c r="Q63" s="44">
        <v>0</v>
      </c>
      <c r="R63" s="44">
        <v>0</v>
      </c>
      <c r="S63" s="44">
        <v>0</v>
      </c>
      <c r="T63" s="41">
        <v>1</v>
      </c>
    </row>
    <row r="64" spans="1:20" ht="15" customHeight="1" x14ac:dyDescent="0.4">
      <c r="A64" s="42" t="s">
        <v>142</v>
      </c>
      <c r="B64" s="41" t="s">
        <v>143</v>
      </c>
      <c r="C64" s="44">
        <v>0</v>
      </c>
      <c r="D64" s="44">
        <v>0</v>
      </c>
      <c r="E64" s="44">
        <v>0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44">
        <v>0</v>
      </c>
      <c r="Q64" s="44">
        <v>0</v>
      </c>
      <c r="R64" s="44">
        <v>0</v>
      </c>
      <c r="S64" s="44">
        <v>0</v>
      </c>
      <c r="T64" s="41">
        <v>1</v>
      </c>
    </row>
    <row r="65" spans="1:20" ht="15" customHeight="1" x14ac:dyDescent="0.4">
      <c r="A65" s="37" t="s">
        <v>144</v>
      </c>
      <c r="B65" s="38" t="s">
        <v>145</v>
      </c>
      <c r="C65" s="39">
        <v>-374759356.32999998</v>
      </c>
      <c r="D65" s="39">
        <v>2520207111.3200002</v>
      </c>
      <c r="E65" s="39">
        <v>1378830187.5999999</v>
      </c>
      <c r="F65" s="39">
        <v>-20756174.149999999</v>
      </c>
      <c r="G65" s="39">
        <v>1988779</v>
      </c>
      <c r="H65" s="39">
        <v>4535452462.4300003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  <c r="N65" s="40">
        <v>0</v>
      </c>
      <c r="O65" s="40">
        <v>0</v>
      </c>
      <c r="P65" s="40">
        <v>0</v>
      </c>
      <c r="Q65" s="40">
        <v>0</v>
      </c>
      <c r="R65" s="39">
        <v>5895515254.8800001</v>
      </c>
      <c r="S65" s="39">
        <v>4516685067.2799997</v>
      </c>
      <c r="T65" s="41">
        <v>2</v>
      </c>
    </row>
    <row r="66" spans="1:20" ht="15" customHeight="1" x14ac:dyDescent="0.4">
      <c r="A66" s="42" t="s">
        <v>146</v>
      </c>
      <c r="B66" s="41" t="s">
        <v>147</v>
      </c>
      <c r="C66" s="44">
        <v>0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44">
        <v>0</v>
      </c>
      <c r="Q66" s="44">
        <v>0</v>
      </c>
      <c r="R66" s="44">
        <v>0</v>
      </c>
      <c r="S66" s="44">
        <v>0</v>
      </c>
      <c r="T66" s="41">
        <v>1</v>
      </c>
    </row>
    <row r="67" spans="1:20" ht="15" customHeight="1" x14ac:dyDescent="0.4">
      <c r="A67" s="42" t="s">
        <v>148</v>
      </c>
      <c r="B67" s="41" t="s">
        <v>149</v>
      </c>
      <c r="C67" s="44">
        <v>0</v>
      </c>
      <c r="D67" s="44">
        <v>0</v>
      </c>
      <c r="E67" s="44">
        <v>0</v>
      </c>
      <c r="F67" s="44">
        <v>0</v>
      </c>
      <c r="G67" s="44">
        <v>0</v>
      </c>
      <c r="H67" s="44">
        <v>0</v>
      </c>
      <c r="I67" s="44">
        <v>0</v>
      </c>
      <c r="J67" s="44">
        <v>0</v>
      </c>
      <c r="K67" s="44">
        <v>0</v>
      </c>
      <c r="L67" s="44">
        <v>0</v>
      </c>
      <c r="M67" s="44">
        <v>0</v>
      </c>
      <c r="N67" s="44">
        <v>0</v>
      </c>
      <c r="O67" s="44">
        <v>0</v>
      </c>
      <c r="P67" s="44">
        <v>0</v>
      </c>
      <c r="Q67" s="44">
        <v>0</v>
      </c>
      <c r="R67" s="44">
        <v>0</v>
      </c>
      <c r="S67" s="44">
        <v>0</v>
      </c>
      <c r="T67" s="41">
        <v>1</v>
      </c>
    </row>
    <row r="68" spans="1:20" ht="15" customHeight="1" x14ac:dyDescent="0.4">
      <c r="A68" s="42" t="s">
        <v>150</v>
      </c>
      <c r="B68" s="41" t="s">
        <v>151</v>
      </c>
      <c r="C68" s="44">
        <v>0</v>
      </c>
      <c r="D68" s="44">
        <v>0</v>
      </c>
      <c r="E68" s="44">
        <v>0</v>
      </c>
      <c r="F68" s="44">
        <v>0</v>
      </c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0</v>
      </c>
      <c r="O68" s="44">
        <v>0</v>
      </c>
      <c r="P68" s="44">
        <v>0</v>
      </c>
      <c r="Q68" s="44">
        <v>0</v>
      </c>
      <c r="R68" s="44">
        <v>0</v>
      </c>
      <c r="S68" s="44">
        <v>0</v>
      </c>
      <c r="T68" s="41">
        <v>1</v>
      </c>
    </row>
    <row r="69" spans="1:20" ht="15" customHeight="1" x14ac:dyDescent="0.4">
      <c r="A69" s="42" t="s">
        <v>152</v>
      </c>
      <c r="B69" s="41" t="s">
        <v>153</v>
      </c>
      <c r="C69" s="44">
        <v>0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0</v>
      </c>
      <c r="P69" s="44">
        <v>0</v>
      </c>
      <c r="Q69" s="44">
        <v>0</v>
      </c>
      <c r="R69" s="44">
        <v>0</v>
      </c>
      <c r="S69" s="44">
        <v>0</v>
      </c>
      <c r="T69" s="41">
        <v>1</v>
      </c>
    </row>
    <row r="70" spans="1:20" ht="15" customHeight="1" x14ac:dyDescent="0.4">
      <c r="A70" s="42" t="s">
        <v>154</v>
      </c>
      <c r="B70" s="41" t="s">
        <v>155</v>
      </c>
      <c r="C70" s="44">
        <v>0</v>
      </c>
      <c r="D70" s="44">
        <v>0</v>
      </c>
      <c r="E70" s="44">
        <v>0</v>
      </c>
      <c r="F70" s="44">
        <v>0</v>
      </c>
      <c r="G70" s="44">
        <v>0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>
        <v>0</v>
      </c>
      <c r="P70" s="44">
        <v>0</v>
      </c>
      <c r="Q70" s="44">
        <v>0</v>
      </c>
      <c r="R70" s="44">
        <v>0</v>
      </c>
      <c r="S70" s="44">
        <v>0</v>
      </c>
      <c r="T70" s="41">
        <v>1</v>
      </c>
    </row>
    <row r="71" spans="1:20" ht="15" customHeight="1" x14ac:dyDescent="0.4">
      <c r="A71" s="42" t="s">
        <v>156</v>
      </c>
      <c r="B71" s="41" t="s">
        <v>157</v>
      </c>
      <c r="C71" s="44">
        <v>0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0</v>
      </c>
      <c r="P71" s="44">
        <v>0</v>
      </c>
      <c r="Q71" s="44">
        <v>0</v>
      </c>
      <c r="R71" s="44">
        <v>0</v>
      </c>
      <c r="S71" s="44">
        <v>0</v>
      </c>
      <c r="T71" s="41">
        <v>1</v>
      </c>
    </row>
    <row r="72" spans="1:20" ht="15" customHeight="1" x14ac:dyDescent="0.4">
      <c r="A72" s="42" t="s">
        <v>158</v>
      </c>
      <c r="B72" s="41" t="s">
        <v>159</v>
      </c>
      <c r="C72" s="44">
        <v>0</v>
      </c>
      <c r="D72" s="44">
        <v>0</v>
      </c>
      <c r="E72" s="44">
        <v>0</v>
      </c>
      <c r="F72" s="44">
        <v>0</v>
      </c>
      <c r="G72" s="44">
        <v>0</v>
      </c>
      <c r="H72" s="44">
        <v>0</v>
      </c>
      <c r="I72" s="44">
        <v>0</v>
      </c>
      <c r="J72" s="44">
        <v>0</v>
      </c>
      <c r="K72" s="44">
        <v>0</v>
      </c>
      <c r="L72" s="44">
        <v>0</v>
      </c>
      <c r="M72" s="44">
        <v>0</v>
      </c>
      <c r="N72" s="44">
        <v>0</v>
      </c>
      <c r="O72" s="44">
        <v>0</v>
      </c>
      <c r="P72" s="44">
        <v>0</v>
      </c>
      <c r="Q72" s="44">
        <v>0</v>
      </c>
      <c r="R72" s="44">
        <v>0</v>
      </c>
      <c r="S72" s="44">
        <v>0</v>
      </c>
      <c r="T72" s="41">
        <v>1</v>
      </c>
    </row>
    <row r="73" spans="1:20" ht="15" customHeight="1" x14ac:dyDescent="0.4">
      <c r="A73" s="42" t="s">
        <v>160</v>
      </c>
      <c r="B73" s="41" t="s">
        <v>161</v>
      </c>
      <c r="C73" s="44">
        <v>0</v>
      </c>
      <c r="D73" s="44">
        <v>0</v>
      </c>
      <c r="E73" s="44">
        <v>0</v>
      </c>
      <c r="F73" s="44">
        <v>0</v>
      </c>
      <c r="G73" s="44">
        <v>0</v>
      </c>
      <c r="H73" s="44">
        <v>0</v>
      </c>
      <c r="I73" s="44">
        <v>0</v>
      </c>
      <c r="J73" s="44">
        <v>0</v>
      </c>
      <c r="K73" s="44">
        <v>0</v>
      </c>
      <c r="L73" s="44">
        <v>0</v>
      </c>
      <c r="M73" s="44">
        <v>0</v>
      </c>
      <c r="N73" s="44">
        <v>0</v>
      </c>
      <c r="O73" s="44">
        <v>0</v>
      </c>
      <c r="P73" s="44">
        <v>0</v>
      </c>
      <c r="Q73" s="44">
        <v>0</v>
      </c>
      <c r="R73" s="44">
        <v>0</v>
      </c>
      <c r="S73" s="44">
        <v>0</v>
      </c>
      <c r="T73" s="41">
        <v>1</v>
      </c>
    </row>
    <row r="74" spans="1:20" ht="15" customHeight="1" x14ac:dyDescent="0.4">
      <c r="A74" s="42" t="s">
        <v>162</v>
      </c>
      <c r="B74" s="41" t="s">
        <v>163</v>
      </c>
      <c r="C74" s="44">
        <v>0</v>
      </c>
      <c r="D74" s="44">
        <v>0</v>
      </c>
      <c r="E74" s="44">
        <v>0</v>
      </c>
      <c r="F74" s="44">
        <v>0</v>
      </c>
      <c r="G74" s="44">
        <v>0</v>
      </c>
      <c r="H74" s="44">
        <v>0</v>
      </c>
      <c r="I74" s="44">
        <v>0</v>
      </c>
      <c r="J74" s="44">
        <v>0</v>
      </c>
      <c r="K74" s="44">
        <v>0</v>
      </c>
      <c r="L74" s="44">
        <v>0</v>
      </c>
      <c r="M74" s="44">
        <v>0</v>
      </c>
      <c r="N74" s="44">
        <v>0</v>
      </c>
      <c r="O74" s="44">
        <v>0</v>
      </c>
      <c r="P74" s="44">
        <v>0</v>
      </c>
      <c r="Q74" s="44">
        <v>0</v>
      </c>
      <c r="R74" s="44">
        <v>0</v>
      </c>
      <c r="S74" s="44">
        <v>0</v>
      </c>
      <c r="T74" s="41">
        <v>1</v>
      </c>
    </row>
    <row r="75" spans="1:20" ht="15" customHeight="1" x14ac:dyDescent="0.4">
      <c r="A75" s="42" t="s">
        <v>164</v>
      </c>
      <c r="B75" s="41" t="s">
        <v>165</v>
      </c>
      <c r="C75" s="44">
        <v>0</v>
      </c>
      <c r="D75" s="44">
        <v>0</v>
      </c>
      <c r="E75" s="44">
        <v>0</v>
      </c>
      <c r="F75" s="44">
        <v>0</v>
      </c>
      <c r="G75" s="44">
        <v>0</v>
      </c>
      <c r="H75" s="44">
        <v>0</v>
      </c>
      <c r="I75" s="44">
        <v>0</v>
      </c>
      <c r="J75" s="44">
        <v>0</v>
      </c>
      <c r="K75" s="44">
        <v>0</v>
      </c>
      <c r="L75" s="44">
        <v>0</v>
      </c>
      <c r="M75" s="44">
        <v>0</v>
      </c>
      <c r="N75" s="44">
        <v>0</v>
      </c>
      <c r="O75" s="44">
        <v>0</v>
      </c>
      <c r="P75" s="44">
        <v>0</v>
      </c>
      <c r="Q75" s="44">
        <v>0</v>
      </c>
      <c r="R75" s="44">
        <v>0</v>
      </c>
      <c r="S75" s="44">
        <v>0</v>
      </c>
      <c r="T75" s="41">
        <v>1</v>
      </c>
    </row>
    <row r="76" spans="1:20" ht="15" customHeight="1" x14ac:dyDescent="0.4">
      <c r="A76" s="42" t="s">
        <v>166</v>
      </c>
      <c r="B76" s="41" t="s">
        <v>167</v>
      </c>
      <c r="C76" s="43">
        <v>-55312500</v>
      </c>
      <c r="D76" s="43">
        <v>571096500</v>
      </c>
      <c r="E76" s="43">
        <v>571096500</v>
      </c>
      <c r="F76" s="44">
        <v>0</v>
      </c>
      <c r="G76" s="44">
        <v>0</v>
      </c>
      <c r="H76" s="44">
        <v>0</v>
      </c>
      <c r="I76" s="44">
        <v>0</v>
      </c>
      <c r="J76" s="44">
        <v>0</v>
      </c>
      <c r="K76" s="44">
        <v>0</v>
      </c>
      <c r="L76" s="44">
        <v>0</v>
      </c>
      <c r="M76" s="44">
        <v>0</v>
      </c>
      <c r="N76" s="44">
        <v>0</v>
      </c>
      <c r="O76" s="44">
        <v>0</v>
      </c>
      <c r="P76" s="44">
        <v>0</v>
      </c>
      <c r="Q76" s="44">
        <v>0</v>
      </c>
      <c r="R76" s="43">
        <v>571096500</v>
      </c>
      <c r="S76" s="44">
        <v>0</v>
      </c>
      <c r="T76" s="41">
        <v>1</v>
      </c>
    </row>
    <row r="77" spans="1:20" ht="15" customHeight="1" x14ac:dyDescent="0.4">
      <c r="A77" s="42" t="s">
        <v>168</v>
      </c>
      <c r="B77" s="41" t="s">
        <v>169</v>
      </c>
      <c r="C77" s="43">
        <v>42115872.420000002</v>
      </c>
      <c r="D77" s="43">
        <v>-216159945.38</v>
      </c>
      <c r="E77" s="43">
        <v>-307343466.80000001</v>
      </c>
      <c r="F77" s="43">
        <v>-10131502.380000001</v>
      </c>
      <c r="G77" s="43">
        <v>-10131502.380000001</v>
      </c>
      <c r="H77" s="43">
        <v>-10131502.380000001</v>
      </c>
      <c r="I77" s="44">
        <v>0</v>
      </c>
      <c r="J77" s="44">
        <v>0</v>
      </c>
      <c r="K77" s="44">
        <v>0</v>
      </c>
      <c r="L77" s="44">
        <v>0</v>
      </c>
      <c r="M77" s="44">
        <v>0</v>
      </c>
      <c r="N77" s="44">
        <v>0</v>
      </c>
      <c r="O77" s="44">
        <v>0</v>
      </c>
      <c r="P77" s="44">
        <v>0</v>
      </c>
      <c r="Q77" s="44">
        <v>0</v>
      </c>
      <c r="R77" s="43">
        <v>-337737973.94</v>
      </c>
      <c r="S77" s="43">
        <v>-30394507.140000001</v>
      </c>
      <c r="T77" s="41">
        <v>1</v>
      </c>
    </row>
    <row r="78" spans="1:20" ht="15" customHeight="1" x14ac:dyDescent="0.4">
      <c r="A78" s="42" t="s">
        <v>170</v>
      </c>
      <c r="B78" s="41" t="s">
        <v>171</v>
      </c>
      <c r="C78" s="44">
        <v>0</v>
      </c>
      <c r="D78" s="44">
        <v>0</v>
      </c>
      <c r="E78" s="44">
        <v>0</v>
      </c>
      <c r="F78" s="44">
        <v>0</v>
      </c>
      <c r="G78" s="44">
        <v>0</v>
      </c>
      <c r="H78" s="44">
        <v>0</v>
      </c>
      <c r="I78" s="44">
        <v>0</v>
      </c>
      <c r="J78" s="44">
        <v>0</v>
      </c>
      <c r="K78" s="44">
        <v>0</v>
      </c>
      <c r="L78" s="44">
        <v>0</v>
      </c>
      <c r="M78" s="44">
        <v>0</v>
      </c>
      <c r="N78" s="44">
        <v>0</v>
      </c>
      <c r="O78" s="44">
        <v>0</v>
      </c>
      <c r="P78" s="44">
        <v>0</v>
      </c>
      <c r="Q78" s="44">
        <v>0</v>
      </c>
      <c r="R78" s="44">
        <v>0</v>
      </c>
      <c r="S78" s="44">
        <v>0</v>
      </c>
      <c r="T78" s="41">
        <v>1</v>
      </c>
    </row>
    <row r="79" spans="1:20" ht="15" customHeight="1" x14ac:dyDescent="0.4">
      <c r="A79" s="42" t="s">
        <v>172</v>
      </c>
      <c r="B79" s="41" t="s">
        <v>173</v>
      </c>
      <c r="C79" s="44">
        <v>0</v>
      </c>
      <c r="D79" s="44">
        <v>0</v>
      </c>
      <c r="E79" s="44">
        <v>0</v>
      </c>
      <c r="F79" s="44">
        <v>0</v>
      </c>
      <c r="G79" s="44">
        <v>0</v>
      </c>
      <c r="H79" s="44">
        <v>0</v>
      </c>
      <c r="I79" s="44">
        <v>0</v>
      </c>
      <c r="J79" s="44">
        <v>0</v>
      </c>
      <c r="K79" s="44">
        <v>0</v>
      </c>
      <c r="L79" s="44">
        <v>0</v>
      </c>
      <c r="M79" s="44">
        <v>0</v>
      </c>
      <c r="N79" s="44">
        <v>0</v>
      </c>
      <c r="O79" s="44">
        <v>0</v>
      </c>
      <c r="P79" s="44">
        <v>0</v>
      </c>
      <c r="Q79" s="44">
        <v>0</v>
      </c>
      <c r="R79" s="44">
        <v>0</v>
      </c>
      <c r="S79" s="44">
        <v>0</v>
      </c>
      <c r="T79" s="41">
        <v>1</v>
      </c>
    </row>
    <row r="80" spans="1:20" ht="15" customHeight="1" x14ac:dyDescent="0.4">
      <c r="A80" s="42" t="s">
        <v>174</v>
      </c>
      <c r="B80" s="41" t="s">
        <v>175</v>
      </c>
      <c r="C80" s="44">
        <v>0</v>
      </c>
      <c r="D80" s="44">
        <v>0</v>
      </c>
      <c r="E80" s="44">
        <v>0</v>
      </c>
      <c r="F80" s="44">
        <v>0</v>
      </c>
      <c r="G80" s="44">
        <v>0</v>
      </c>
      <c r="H80" s="44">
        <v>0</v>
      </c>
      <c r="I80" s="44">
        <v>0</v>
      </c>
      <c r="J80" s="44">
        <v>0</v>
      </c>
      <c r="K80" s="44">
        <v>0</v>
      </c>
      <c r="L80" s="44">
        <v>0</v>
      </c>
      <c r="M80" s="44">
        <v>0</v>
      </c>
      <c r="N80" s="44">
        <v>0</v>
      </c>
      <c r="O80" s="44">
        <v>0</v>
      </c>
      <c r="P80" s="44">
        <v>0</v>
      </c>
      <c r="Q80" s="44">
        <v>0</v>
      </c>
      <c r="R80" s="44">
        <v>0</v>
      </c>
      <c r="S80" s="44">
        <v>0</v>
      </c>
      <c r="T80" s="41">
        <v>1</v>
      </c>
    </row>
    <row r="81" spans="1:28" ht="15" customHeight="1" x14ac:dyDescent="0.4">
      <c r="A81" s="42" t="s">
        <v>743</v>
      </c>
      <c r="B81" s="41" t="s">
        <v>744</v>
      </c>
      <c r="C81" s="44">
        <v>0</v>
      </c>
      <c r="D81" s="44">
        <v>0</v>
      </c>
      <c r="E81" s="44">
        <v>0</v>
      </c>
      <c r="F81" s="44">
        <v>0</v>
      </c>
      <c r="G81" s="44">
        <v>0</v>
      </c>
      <c r="H81" s="44">
        <v>0</v>
      </c>
      <c r="I81" s="44">
        <v>0</v>
      </c>
      <c r="J81" s="44">
        <v>0</v>
      </c>
      <c r="K81" s="44">
        <v>0</v>
      </c>
      <c r="L81" s="44">
        <v>0</v>
      </c>
      <c r="M81" s="44">
        <v>0</v>
      </c>
      <c r="N81" s="44">
        <v>0</v>
      </c>
      <c r="O81" s="44">
        <v>0</v>
      </c>
      <c r="P81" s="44">
        <v>0</v>
      </c>
      <c r="Q81" s="44">
        <v>0</v>
      </c>
      <c r="R81" s="44">
        <v>0</v>
      </c>
      <c r="S81" s="44">
        <v>0</v>
      </c>
      <c r="T81" s="41">
        <v>1</v>
      </c>
    </row>
    <row r="82" spans="1:28" ht="15" customHeight="1" x14ac:dyDescent="0.4">
      <c r="A82" s="42" t="s">
        <v>176</v>
      </c>
      <c r="B82" s="41" t="s">
        <v>177</v>
      </c>
      <c r="C82" s="43">
        <v>37401785.710000001</v>
      </c>
      <c r="D82" s="43">
        <v>1202264714.4100001</v>
      </c>
      <c r="E82" s="43">
        <v>1318195671.78</v>
      </c>
      <c r="F82" s="43">
        <v>8766428.5700000003</v>
      </c>
      <c r="G82" s="43">
        <v>31474821.43</v>
      </c>
      <c r="H82" s="43">
        <v>7468125</v>
      </c>
      <c r="I82" s="44">
        <v>0</v>
      </c>
      <c r="J82" s="44">
        <v>0</v>
      </c>
      <c r="K82" s="44">
        <v>0</v>
      </c>
      <c r="L82" s="44">
        <v>0</v>
      </c>
      <c r="M82" s="44">
        <v>0</v>
      </c>
      <c r="N82" s="44">
        <v>0</v>
      </c>
      <c r="O82" s="44">
        <v>0</v>
      </c>
      <c r="P82" s="44">
        <v>0</v>
      </c>
      <c r="Q82" s="44">
        <v>0</v>
      </c>
      <c r="R82" s="43">
        <v>1365905046.78</v>
      </c>
      <c r="S82" s="43">
        <v>47709375</v>
      </c>
      <c r="T82" s="41">
        <v>1</v>
      </c>
      <c r="V82" s="48" t="s">
        <v>750</v>
      </c>
      <c r="W82" s="48" t="s">
        <v>751</v>
      </c>
      <c r="X82" s="48" t="s">
        <v>752</v>
      </c>
      <c r="Y82" s="1" t="s">
        <v>756</v>
      </c>
      <c r="Z82" s="1" t="s">
        <v>757</v>
      </c>
    </row>
    <row r="83" spans="1:28" ht="15" customHeight="1" x14ac:dyDescent="0.4">
      <c r="A83" s="42" t="s">
        <v>178</v>
      </c>
      <c r="B83" s="41" t="s">
        <v>179</v>
      </c>
      <c r="C83" s="43">
        <v>-17190862.460000001</v>
      </c>
      <c r="D83" s="43">
        <v>-570441139.71000004</v>
      </c>
      <c r="E83" s="43">
        <v>-729272348.38</v>
      </c>
      <c r="F83" s="43">
        <v>-19391100.34</v>
      </c>
      <c r="G83" s="43">
        <v>-19354540.050000001</v>
      </c>
      <c r="H83" s="43">
        <v>-19686188.190000001</v>
      </c>
      <c r="I83" s="44">
        <v>0</v>
      </c>
      <c r="J83" s="44">
        <v>0</v>
      </c>
      <c r="K83" s="44">
        <v>0</v>
      </c>
      <c r="L83" s="44">
        <v>0</v>
      </c>
      <c r="M83" s="44">
        <v>0</v>
      </c>
      <c r="N83" s="44">
        <v>0</v>
      </c>
      <c r="O83" s="44">
        <v>0</v>
      </c>
      <c r="P83" s="44">
        <v>0</v>
      </c>
      <c r="Q83" s="44">
        <v>0</v>
      </c>
      <c r="R83" s="43">
        <v>-787704176.96000004</v>
      </c>
      <c r="S83" s="43">
        <v>-58431828.579999998</v>
      </c>
      <c r="T83" s="41">
        <v>1</v>
      </c>
      <c r="U83" s="1" t="s">
        <v>753</v>
      </c>
      <c r="V83" s="48">
        <f>+PL!R56</f>
        <v>88826335.719999999</v>
      </c>
      <c r="W83" s="48">
        <f>+S70+S73+S77+S79+S83+S86</f>
        <v>-88826335.719999999</v>
      </c>
      <c r="X83" s="48">
        <f>+V83+W83</f>
        <v>0</v>
      </c>
      <c r="Y83" s="1">
        <f>+PL!R92</f>
        <v>0</v>
      </c>
      <c r="Z83" s="1">
        <f>+PL!R126</f>
        <v>0</v>
      </c>
    </row>
    <row r="84" spans="1:28" ht="15" customHeight="1" x14ac:dyDescent="0.4">
      <c r="A84" s="42" t="s">
        <v>180</v>
      </c>
      <c r="B84" s="41" t="s">
        <v>181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0</v>
      </c>
      <c r="K84" s="44">
        <v>0</v>
      </c>
      <c r="L84" s="44">
        <v>0</v>
      </c>
      <c r="M84" s="44">
        <v>0</v>
      </c>
      <c r="N84" s="44">
        <v>0</v>
      </c>
      <c r="O84" s="44">
        <v>0</v>
      </c>
      <c r="P84" s="44">
        <v>0</v>
      </c>
      <c r="Q84" s="44">
        <v>0</v>
      </c>
      <c r="R84" s="44">
        <v>0</v>
      </c>
      <c r="S84" s="44">
        <v>0</v>
      </c>
      <c r="T84" s="41">
        <v>1</v>
      </c>
      <c r="U84" s="1" t="s">
        <v>754</v>
      </c>
      <c r="V84" s="48">
        <f>+PL!R58</f>
        <v>2920623.78</v>
      </c>
      <c r="W84" s="48">
        <f>+S104</f>
        <v>-2920623.78</v>
      </c>
      <c r="X84" s="48">
        <f>+V84+W84</f>
        <v>0</v>
      </c>
      <c r="Y84" s="1">
        <f>+PL!R95</f>
        <v>0</v>
      </c>
      <c r="Z84" s="1">
        <f>+PL!R129</f>
        <v>0</v>
      </c>
    </row>
    <row r="85" spans="1:28" ht="15" customHeight="1" x14ac:dyDescent="0.4">
      <c r="A85" s="42" t="s">
        <v>182</v>
      </c>
      <c r="B85" s="41" t="s">
        <v>183</v>
      </c>
      <c r="C85" s="44">
        <v>0</v>
      </c>
      <c r="D85" s="44">
        <v>0</v>
      </c>
      <c r="E85" s="44">
        <v>0</v>
      </c>
      <c r="F85" s="44">
        <v>0</v>
      </c>
      <c r="G85" s="44">
        <v>0</v>
      </c>
      <c r="H85" s="44">
        <v>0</v>
      </c>
      <c r="I85" s="44">
        <v>0</v>
      </c>
      <c r="J85" s="44">
        <v>0</v>
      </c>
      <c r="K85" s="44">
        <v>0</v>
      </c>
      <c r="L85" s="44">
        <v>0</v>
      </c>
      <c r="M85" s="44">
        <v>0</v>
      </c>
      <c r="N85" s="44">
        <v>0</v>
      </c>
      <c r="O85" s="44">
        <v>0</v>
      </c>
      <c r="P85" s="44">
        <v>0</v>
      </c>
      <c r="Q85" s="44">
        <v>0</v>
      </c>
      <c r="R85" s="44">
        <v>0</v>
      </c>
      <c r="S85" s="44">
        <v>0</v>
      </c>
      <c r="T85" s="41">
        <v>1</v>
      </c>
      <c r="U85" s="1" t="s">
        <v>755</v>
      </c>
      <c r="V85" s="48">
        <f>+PL!R57</f>
        <v>417096460</v>
      </c>
      <c r="W85" s="48">
        <f>S95</f>
        <v>3963771981</v>
      </c>
      <c r="X85" s="48">
        <f>+V85+W85</f>
        <v>4380868441</v>
      </c>
      <c r="Y85" s="1">
        <f>+PL!R94</f>
        <v>0</v>
      </c>
      <c r="Z85" s="1">
        <f>+PL!R128</f>
        <v>0</v>
      </c>
      <c r="AA85" s="48">
        <v>4380868441</v>
      </c>
      <c r="AB85" s="1" t="s">
        <v>758</v>
      </c>
    </row>
    <row r="86" spans="1:28" ht="15" customHeight="1" x14ac:dyDescent="0.4">
      <c r="A86" s="42" t="s">
        <v>184</v>
      </c>
      <c r="B86" s="41" t="s">
        <v>185</v>
      </c>
      <c r="C86" s="44">
        <v>0</v>
      </c>
      <c r="D86" s="44">
        <v>0</v>
      </c>
      <c r="E86" s="44">
        <v>0</v>
      </c>
      <c r="F86" s="44">
        <v>0</v>
      </c>
      <c r="G86" s="44">
        <v>0</v>
      </c>
      <c r="H86" s="44">
        <v>0</v>
      </c>
      <c r="I86" s="44">
        <v>0</v>
      </c>
      <c r="J86" s="44">
        <v>0</v>
      </c>
      <c r="K86" s="44">
        <v>0</v>
      </c>
      <c r="L86" s="44">
        <v>0</v>
      </c>
      <c r="M86" s="44">
        <v>0</v>
      </c>
      <c r="N86" s="44">
        <v>0</v>
      </c>
      <c r="O86" s="44">
        <v>0</v>
      </c>
      <c r="P86" s="44">
        <v>0</v>
      </c>
      <c r="Q86" s="44">
        <v>0</v>
      </c>
      <c r="R86" s="44">
        <v>0</v>
      </c>
      <c r="S86" s="44">
        <v>0</v>
      </c>
      <c r="T86" s="41">
        <v>1</v>
      </c>
    </row>
    <row r="87" spans="1:28" ht="15" customHeight="1" x14ac:dyDescent="0.4">
      <c r="A87" s="42" t="s">
        <v>186</v>
      </c>
      <c r="B87" s="41" t="s">
        <v>187</v>
      </c>
      <c r="C87" s="44">
        <v>0</v>
      </c>
      <c r="D87" s="44">
        <v>0</v>
      </c>
      <c r="E87" s="44">
        <v>0</v>
      </c>
      <c r="F87" s="44">
        <v>0</v>
      </c>
      <c r="G87" s="44">
        <v>0</v>
      </c>
      <c r="H87" s="44">
        <v>0</v>
      </c>
      <c r="I87" s="44">
        <v>0</v>
      </c>
      <c r="J87" s="44">
        <v>0</v>
      </c>
      <c r="K87" s="44">
        <v>0</v>
      </c>
      <c r="L87" s="44">
        <v>0</v>
      </c>
      <c r="M87" s="44">
        <v>0</v>
      </c>
      <c r="N87" s="44">
        <v>0</v>
      </c>
      <c r="O87" s="44">
        <v>0</v>
      </c>
      <c r="P87" s="44">
        <v>0</v>
      </c>
      <c r="Q87" s="44">
        <v>0</v>
      </c>
      <c r="R87" s="44">
        <v>0</v>
      </c>
      <c r="S87" s="44">
        <v>0</v>
      </c>
      <c r="T87" s="41">
        <v>1</v>
      </c>
    </row>
    <row r="88" spans="1:28" ht="15" customHeight="1" x14ac:dyDescent="0.4">
      <c r="A88" s="42" t="s">
        <v>188</v>
      </c>
      <c r="B88" s="41" t="s">
        <v>189</v>
      </c>
      <c r="C88" s="44">
        <v>0</v>
      </c>
      <c r="D88" s="44">
        <v>0</v>
      </c>
      <c r="E88" s="44">
        <v>0</v>
      </c>
      <c r="F88" s="44">
        <v>0</v>
      </c>
      <c r="G88" s="44">
        <v>0</v>
      </c>
      <c r="H88" s="44">
        <v>0</v>
      </c>
      <c r="I88" s="44">
        <v>0</v>
      </c>
      <c r="J88" s="44">
        <v>0</v>
      </c>
      <c r="K88" s="44">
        <v>0</v>
      </c>
      <c r="L88" s="44">
        <v>0</v>
      </c>
      <c r="M88" s="44">
        <v>0</v>
      </c>
      <c r="N88" s="44">
        <v>0</v>
      </c>
      <c r="O88" s="44">
        <v>0</v>
      </c>
      <c r="P88" s="44">
        <v>0</v>
      </c>
      <c r="Q88" s="44">
        <v>0</v>
      </c>
      <c r="R88" s="44">
        <v>0</v>
      </c>
      <c r="S88" s="44">
        <v>0</v>
      </c>
      <c r="T88" s="41">
        <v>1</v>
      </c>
    </row>
    <row r="89" spans="1:28" ht="15" customHeight="1" x14ac:dyDescent="0.4">
      <c r="A89" s="42" t="s">
        <v>190</v>
      </c>
      <c r="B89" s="41" t="s">
        <v>191</v>
      </c>
      <c r="C89" s="44">
        <v>0</v>
      </c>
      <c r="D89" s="44">
        <v>0</v>
      </c>
      <c r="E89" s="44">
        <v>0</v>
      </c>
      <c r="F89" s="44">
        <v>0</v>
      </c>
      <c r="G89" s="44">
        <v>0</v>
      </c>
      <c r="H89" s="44">
        <v>0</v>
      </c>
      <c r="I89" s="44">
        <v>0</v>
      </c>
      <c r="J89" s="44">
        <v>0</v>
      </c>
      <c r="K89" s="44">
        <v>0</v>
      </c>
      <c r="L89" s="44">
        <v>0</v>
      </c>
      <c r="M89" s="44">
        <v>0</v>
      </c>
      <c r="N89" s="44">
        <v>0</v>
      </c>
      <c r="O89" s="44">
        <v>0</v>
      </c>
      <c r="P89" s="44">
        <v>0</v>
      </c>
      <c r="Q89" s="44">
        <v>0</v>
      </c>
      <c r="R89" s="44">
        <v>0</v>
      </c>
      <c r="S89" s="44">
        <v>0</v>
      </c>
      <c r="T89" s="41">
        <v>1</v>
      </c>
    </row>
    <row r="90" spans="1:28" ht="15" customHeight="1" x14ac:dyDescent="0.4">
      <c r="A90" s="42" t="s">
        <v>192</v>
      </c>
      <c r="B90" s="41" t="s">
        <v>193</v>
      </c>
      <c r="C90" s="44">
        <v>0</v>
      </c>
      <c r="D90" s="44">
        <v>0</v>
      </c>
      <c r="E90" s="44">
        <v>0</v>
      </c>
      <c r="F90" s="44">
        <v>0</v>
      </c>
      <c r="G90" s="44">
        <v>0</v>
      </c>
      <c r="H90" s="44">
        <v>0</v>
      </c>
      <c r="I90" s="44">
        <v>0</v>
      </c>
      <c r="J90" s="44">
        <v>0</v>
      </c>
      <c r="K90" s="44">
        <v>0</v>
      </c>
      <c r="L90" s="44">
        <v>0</v>
      </c>
      <c r="M90" s="44">
        <v>0</v>
      </c>
      <c r="N90" s="44">
        <v>0</v>
      </c>
      <c r="O90" s="44">
        <v>0</v>
      </c>
      <c r="P90" s="44">
        <v>0</v>
      </c>
      <c r="Q90" s="44">
        <v>0</v>
      </c>
      <c r="R90" s="44">
        <v>0</v>
      </c>
      <c r="S90" s="44">
        <v>0</v>
      </c>
      <c r="T90" s="41">
        <v>1</v>
      </c>
    </row>
    <row r="91" spans="1:28" ht="15" customHeight="1" x14ac:dyDescent="0.4">
      <c r="A91" s="42" t="s">
        <v>194</v>
      </c>
      <c r="B91" s="41" t="s">
        <v>195</v>
      </c>
      <c r="C91" s="44">
        <v>0</v>
      </c>
      <c r="D91" s="44">
        <v>0</v>
      </c>
      <c r="E91" s="44">
        <v>0</v>
      </c>
      <c r="F91" s="44">
        <v>0</v>
      </c>
      <c r="G91" s="44">
        <v>0</v>
      </c>
      <c r="H91" s="44">
        <v>0</v>
      </c>
      <c r="I91" s="44">
        <v>0</v>
      </c>
      <c r="J91" s="44">
        <v>0</v>
      </c>
      <c r="K91" s="44">
        <v>0</v>
      </c>
      <c r="L91" s="44">
        <v>0</v>
      </c>
      <c r="M91" s="44">
        <v>0</v>
      </c>
      <c r="N91" s="44">
        <v>0</v>
      </c>
      <c r="O91" s="44">
        <v>0</v>
      </c>
      <c r="P91" s="44">
        <v>0</v>
      </c>
      <c r="Q91" s="44">
        <v>0</v>
      </c>
      <c r="R91" s="44">
        <v>0</v>
      </c>
      <c r="S91" s="44">
        <v>0</v>
      </c>
      <c r="T91" s="41">
        <v>1</v>
      </c>
    </row>
    <row r="92" spans="1:28" ht="15" customHeight="1" x14ac:dyDescent="0.4">
      <c r="A92" s="42" t="s">
        <v>196</v>
      </c>
      <c r="B92" s="41" t="s">
        <v>197</v>
      </c>
      <c r="C92" s="44">
        <v>0</v>
      </c>
      <c r="D92" s="44">
        <v>0</v>
      </c>
      <c r="E92" s="44">
        <v>0</v>
      </c>
      <c r="F92" s="44">
        <v>0</v>
      </c>
      <c r="G92" s="44">
        <v>0</v>
      </c>
      <c r="H92" s="44">
        <v>0</v>
      </c>
      <c r="I92" s="44">
        <v>0</v>
      </c>
      <c r="J92" s="44">
        <v>0</v>
      </c>
      <c r="K92" s="44">
        <v>0</v>
      </c>
      <c r="L92" s="44">
        <v>0</v>
      </c>
      <c r="M92" s="44">
        <v>0</v>
      </c>
      <c r="N92" s="44">
        <v>0</v>
      </c>
      <c r="O92" s="44">
        <v>0</v>
      </c>
      <c r="P92" s="44">
        <v>0</v>
      </c>
      <c r="Q92" s="44">
        <v>0</v>
      </c>
      <c r="R92" s="44">
        <v>0</v>
      </c>
      <c r="S92" s="44">
        <v>0</v>
      </c>
      <c r="T92" s="41">
        <v>1</v>
      </c>
    </row>
    <row r="93" spans="1:28" ht="15" customHeight="1" x14ac:dyDescent="0.4">
      <c r="A93" s="42" t="s">
        <v>198</v>
      </c>
      <c r="B93" s="41" t="s">
        <v>199</v>
      </c>
      <c r="C93" s="44">
        <v>0</v>
      </c>
      <c r="D93" s="44">
        <v>0</v>
      </c>
      <c r="E93" s="44">
        <v>0</v>
      </c>
      <c r="F93" s="44">
        <v>0</v>
      </c>
      <c r="G93" s="44">
        <v>0</v>
      </c>
      <c r="H93" s="44">
        <v>0</v>
      </c>
      <c r="I93" s="44">
        <v>0</v>
      </c>
      <c r="J93" s="44">
        <v>0</v>
      </c>
      <c r="K93" s="44">
        <v>0</v>
      </c>
      <c r="L93" s="44">
        <v>0</v>
      </c>
      <c r="M93" s="44">
        <v>0</v>
      </c>
      <c r="N93" s="44">
        <v>0</v>
      </c>
      <c r="O93" s="44">
        <v>0</v>
      </c>
      <c r="P93" s="44">
        <v>0</v>
      </c>
      <c r="Q93" s="44">
        <v>0</v>
      </c>
      <c r="R93" s="44">
        <v>0</v>
      </c>
      <c r="S93" s="44">
        <v>0</v>
      </c>
      <c r="T93" s="41">
        <v>1</v>
      </c>
    </row>
    <row r="94" spans="1:28" ht="15" customHeight="1" x14ac:dyDescent="0.4">
      <c r="A94" s="42" t="s">
        <v>200</v>
      </c>
      <c r="B94" s="41" t="s">
        <v>201</v>
      </c>
      <c r="C94" s="44">
        <v>0</v>
      </c>
      <c r="D94" s="43">
        <v>4714894084</v>
      </c>
      <c r="E94" s="43">
        <v>4865469872</v>
      </c>
      <c r="F94" s="44">
        <v>0</v>
      </c>
      <c r="G94" s="44">
        <v>0</v>
      </c>
      <c r="H94" s="43">
        <v>594030047</v>
      </c>
      <c r="I94" s="44">
        <v>0</v>
      </c>
      <c r="J94" s="44">
        <v>0</v>
      </c>
      <c r="K94" s="44">
        <v>0</v>
      </c>
      <c r="L94" s="44">
        <v>0</v>
      </c>
      <c r="M94" s="44">
        <v>0</v>
      </c>
      <c r="N94" s="44">
        <v>0</v>
      </c>
      <c r="O94" s="44">
        <v>0</v>
      </c>
      <c r="P94" s="44">
        <v>0</v>
      </c>
      <c r="Q94" s="44">
        <v>0</v>
      </c>
      <c r="R94" s="43">
        <v>5459499919</v>
      </c>
      <c r="S94" s="43">
        <v>594030047</v>
      </c>
      <c r="T94" s="41">
        <v>1</v>
      </c>
    </row>
    <row r="95" spans="1:28" ht="15" customHeight="1" x14ac:dyDescent="0.4">
      <c r="A95" s="42" t="s">
        <v>202</v>
      </c>
      <c r="B95" s="41" t="s">
        <v>203</v>
      </c>
      <c r="C95" s="43">
        <v>-381773652</v>
      </c>
      <c r="D95" s="43">
        <v>-3181447102</v>
      </c>
      <c r="E95" s="43">
        <v>-4339316041</v>
      </c>
      <c r="F95" s="44">
        <v>0</v>
      </c>
      <c r="G95" s="44">
        <v>0</v>
      </c>
      <c r="H95" s="43">
        <v>3963771981</v>
      </c>
      <c r="I95" s="44">
        <v>0</v>
      </c>
      <c r="J95" s="44">
        <v>0</v>
      </c>
      <c r="K95" s="44">
        <v>0</v>
      </c>
      <c r="L95" s="44">
        <v>0</v>
      </c>
      <c r="M95" s="44">
        <v>0</v>
      </c>
      <c r="N95" s="44">
        <v>0</v>
      </c>
      <c r="O95" s="44">
        <v>0</v>
      </c>
      <c r="P95" s="44">
        <v>0</v>
      </c>
      <c r="Q95" s="44">
        <v>0</v>
      </c>
      <c r="R95" s="43">
        <v>-375544060</v>
      </c>
      <c r="S95" s="43">
        <v>3963771981</v>
      </c>
      <c r="T95" s="41">
        <v>1</v>
      </c>
    </row>
    <row r="96" spans="1:28" ht="15" customHeight="1" x14ac:dyDescent="0.4">
      <c r="A96" s="42" t="s">
        <v>204</v>
      </c>
      <c r="B96" s="41" t="s">
        <v>205</v>
      </c>
      <c r="C96" s="44">
        <v>0</v>
      </c>
      <c r="D96" s="44">
        <v>0</v>
      </c>
      <c r="E96" s="44">
        <v>0</v>
      </c>
      <c r="F96" s="44">
        <v>0</v>
      </c>
      <c r="G96" s="44">
        <v>0</v>
      </c>
      <c r="H96" s="44">
        <v>0</v>
      </c>
      <c r="I96" s="44">
        <v>0</v>
      </c>
      <c r="J96" s="44">
        <v>0</v>
      </c>
      <c r="K96" s="44">
        <v>0</v>
      </c>
      <c r="L96" s="44">
        <v>0</v>
      </c>
      <c r="M96" s="44">
        <v>0</v>
      </c>
      <c r="N96" s="44">
        <v>0</v>
      </c>
      <c r="O96" s="44">
        <v>0</v>
      </c>
      <c r="P96" s="44">
        <v>0</v>
      </c>
      <c r="Q96" s="44">
        <v>0</v>
      </c>
      <c r="R96" s="44">
        <v>0</v>
      </c>
      <c r="S96" s="44">
        <v>0</v>
      </c>
      <c r="T96" s="41">
        <v>1</v>
      </c>
    </row>
    <row r="97" spans="1:20" ht="15" customHeight="1" x14ac:dyDescent="0.4">
      <c r="A97" s="42" t="s">
        <v>206</v>
      </c>
      <c r="B97" s="41" t="s">
        <v>207</v>
      </c>
      <c r="C97" s="44">
        <v>0</v>
      </c>
      <c r="D97" s="44">
        <v>0</v>
      </c>
      <c r="E97" s="44">
        <v>0</v>
      </c>
      <c r="F97" s="44">
        <v>0</v>
      </c>
      <c r="G97" s="44">
        <v>0</v>
      </c>
      <c r="H97" s="44">
        <v>0</v>
      </c>
      <c r="I97" s="44">
        <v>0</v>
      </c>
      <c r="J97" s="44">
        <v>0</v>
      </c>
      <c r="K97" s="44">
        <v>0</v>
      </c>
      <c r="L97" s="44">
        <v>0</v>
      </c>
      <c r="M97" s="44">
        <v>0</v>
      </c>
      <c r="N97" s="44">
        <v>0</v>
      </c>
      <c r="O97" s="44">
        <v>0</v>
      </c>
      <c r="P97" s="44">
        <v>0</v>
      </c>
      <c r="Q97" s="44">
        <v>0</v>
      </c>
      <c r="R97" s="44">
        <v>0</v>
      </c>
      <c r="S97" s="44">
        <v>0</v>
      </c>
      <c r="T97" s="41">
        <v>1</v>
      </c>
    </row>
    <row r="98" spans="1:20" ht="15" customHeight="1" x14ac:dyDescent="0.4">
      <c r="A98" s="42" t="s">
        <v>208</v>
      </c>
      <c r="B98" s="41" t="s">
        <v>209</v>
      </c>
      <c r="C98" s="44">
        <v>0</v>
      </c>
      <c r="D98" s="44">
        <v>0</v>
      </c>
      <c r="E98" s="44">
        <v>0</v>
      </c>
      <c r="F98" s="44">
        <v>0</v>
      </c>
      <c r="G98" s="44">
        <v>0</v>
      </c>
      <c r="H98" s="44">
        <v>0</v>
      </c>
      <c r="I98" s="44">
        <v>0</v>
      </c>
      <c r="J98" s="44">
        <v>0</v>
      </c>
      <c r="K98" s="44">
        <v>0</v>
      </c>
      <c r="L98" s="44">
        <v>0</v>
      </c>
      <c r="M98" s="44">
        <v>0</v>
      </c>
      <c r="N98" s="44">
        <v>0</v>
      </c>
      <c r="O98" s="44">
        <v>0</v>
      </c>
      <c r="P98" s="44">
        <v>0</v>
      </c>
      <c r="Q98" s="44">
        <v>0</v>
      </c>
      <c r="R98" s="44">
        <v>0</v>
      </c>
      <c r="S98" s="44">
        <v>0</v>
      </c>
      <c r="T98" s="41">
        <v>1</v>
      </c>
    </row>
    <row r="99" spans="1:20" ht="15" customHeight="1" x14ac:dyDescent="0.4">
      <c r="A99" s="37" t="s">
        <v>210</v>
      </c>
      <c r="B99" s="38" t="s">
        <v>211</v>
      </c>
      <c r="C99" s="40">
        <v>0</v>
      </c>
      <c r="D99" s="40">
        <v>0</v>
      </c>
      <c r="E99" s="39">
        <v>55491852.020000003</v>
      </c>
      <c r="F99" s="39">
        <v>-973541.26</v>
      </c>
      <c r="G99" s="39">
        <v>-973541.26</v>
      </c>
      <c r="H99" s="39">
        <v>-973541.26</v>
      </c>
      <c r="I99" s="40">
        <v>0</v>
      </c>
      <c r="J99" s="40">
        <v>0</v>
      </c>
      <c r="K99" s="40">
        <v>0</v>
      </c>
      <c r="L99" s="40">
        <v>0</v>
      </c>
      <c r="M99" s="40">
        <v>0</v>
      </c>
      <c r="N99" s="40">
        <v>0</v>
      </c>
      <c r="O99" s="40">
        <v>0</v>
      </c>
      <c r="P99" s="40">
        <v>0</v>
      </c>
      <c r="Q99" s="40">
        <v>0</v>
      </c>
      <c r="R99" s="39">
        <v>52571228.240000002</v>
      </c>
      <c r="S99" s="39">
        <v>-2920623.78</v>
      </c>
      <c r="T99" s="41">
        <v>2</v>
      </c>
    </row>
    <row r="100" spans="1:20" ht="15" customHeight="1" x14ac:dyDescent="0.4">
      <c r="A100" s="42" t="s">
        <v>212</v>
      </c>
      <c r="B100" s="41" t="s">
        <v>213</v>
      </c>
      <c r="C100" s="44">
        <v>0</v>
      </c>
      <c r="D100" s="44">
        <v>0</v>
      </c>
      <c r="E100" s="44">
        <v>0</v>
      </c>
      <c r="F100" s="44">
        <v>0</v>
      </c>
      <c r="G100" s="44">
        <v>0</v>
      </c>
      <c r="H100" s="44">
        <v>0</v>
      </c>
      <c r="I100" s="44">
        <v>0</v>
      </c>
      <c r="J100" s="44">
        <v>0</v>
      </c>
      <c r="K100" s="44">
        <v>0</v>
      </c>
      <c r="L100" s="44">
        <v>0</v>
      </c>
      <c r="M100" s="44">
        <v>0</v>
      </c>
      <c r="N100" s="44">
        <v>0</v>
      </c>
      <c r="O100" s="44">
        <v>0</v>
      </c>
      <c r="P100" s="44">
        <v>0</v>
      </c>
      <c r="Q100" s="44">
        <v>0</v>
      </c>
      <c r="R100" s="44">
        <v>0</v>
      </c>
      <c r="S100" s="44">
        <v>0</v>
      </c>
      <c r="T100" s="41">
        <v>1</v>
      </c>
    </row>
    <row r="101" spans="1:20" ht="15" customHeight="1" x14ac:dyDescent="0.4">
      <c r="A101" s="42" t="s">
        <v>214</v>
      </c>
      <c r="B101" s="41" t="s">
        <v>215</v>
      </c>
      <c r="C101" s="44">
        <v>0</v>
      </c>
      <c r="D101" s="44">
        <v>0</v>
      </c>
      <c r="E101" s="44">
        <v>0</v>
      </c>
      <c r="F101" s="44">
        <v>0</v>
      </c>
      <c r="G101" s="44">
        <v>0</v>
      </c>
      <c r="H101" s="44">
        <v>0</v>
      </c>
      <c r="I101" s="44">
        <v>0</v>
      </c>
      <c r="J101" s="44">
        <v>0</v>
      </c>
      <c r="K101" s="44">
        <v>0</v>
      </c>
      <c r="L101" s="44">
        <v>0</v>
      </c>
      <c r="M101" s="44">
        <v>0</v>
      </c>
      <c r="N101" s="44">
        <v>0</v>
      </c>
      <c r="O101" s="44">
        <v>0</v>
      </c>
      <c r="P101" s="44">
        <v>0</v>
      </c>
      <c r="Q101" s="44">
        <v>0</v>
      </c>
      <c r="R101" s="44">
        <v>0</v>
      </c>
      <c r="S101" s="44">
        <v>0</v>
      </c>
      <c r="T101" s="41">
        <v>1</v>
      </c>
    </row>
    <row r="102" spans="1:20" ht="15" customHeight="1" x14ac:dyDescent="0.4">
      <c r="A102" s="42" t="s">
        <v>216</v>
      </c>
      <c r="B102" s="41" t="s">
        <v>217</v>
      </c>
      <c r="C102" s="44">
        <v>0</v>
      </c>
      <c r="D102" s="44">
        <v>0</v>
      </c>
      <c r="E102" s="44">
        <v>0</v>
      </c>
      <c r="F102" s="44">
        <v>0</v>
      </c>
      <c r="G102" s="44">
        <v>0</v>
      </c>
      <c r="H102" s="44">
        <v>0</v>
      </c>
      <c r="I102" s="44">
        <v>0</v>
      </c>
      <c r="J102" s="44">
        <v>0</v>
      </c>
      <c r="K102" s="44">
        <v>0</v>
      </c>
      <c r="L102" s="44">
        <v>0</v>
      </c>
      <c r="M102" s="44">
        <v>0</v>
      </c>
      <c r="N102" s="44">
        <v>0</v>
      </c>
      <c r="O102" s="44">
        <v>0</v>
      </c>
      <c r="P102" s="44">
        <v>0</v>
      </c>
      <c r="Q102" s="44">
        <v>0</v>
      </c>
      <c r="R102" s="44">
        <v>0</v>
      </c>
      <c r="S102" s="44">
        <v>0</v>
      </c>
      <c r="T102" s="41">
        <v>1</v>
      </c>
    </row>
    <row r="103" spans="1:20" ht="15" customHeight="1" x14ac:dyDescent="0.4">
      <c r="A103" s="42" t="s">
        <v>218</v>
      </c>
      <c r="B103" s="41" t="s">
        <v>219</v>
      </c>
      <c r="C103" s="44">
        <v>0</v>
      </c>
      <c r="D103" s="44">
        <v>0</v>
      </c>
      <c r="E103" s="44">
        <v>0</v>
      </c>
      <c r="F103" s="44">
        <v>0</v>
      </c>
      <c r="G103" s="44">
        <v>0</v>
      </c>
      <c r="H103" s="44">
        <v>0</v>
      </c>
      <c r="I103" s="44">
        <v>0</v>
      </c>
      <c r="J103" s="44">
        <v>0</v>
      </c>
      <c r="K103" s="44">
        <v>0</v>
      </c>
      <c r="L103" s="44">
        <v>0</v>
      </c>
      <c r="M103" s="44">
        <v>0</v>
      </c>
      <c r="N103" s="44">
        <v>0</v>
      </c>
      <c r="O103" s="44">
        <v>0</v>
      </c>
      <c r="P103" s="44">
        <v>0</v>
      </c>
      <c r="Q103" s="44">
        <v>0</v>
      </c>
      <c r="R103" s="44">
        <v>0</v>
      </c>
      <c r="S103" s="44">
        <v>0</v>
      </c>
      <c r="T103" s="41">
        <v>1</v>
      </c>
    </row>
    <row r="104" spans="1:20" ht="15" customHeight="1" x14ac:dyDescent="0.4">
      <c r="A104" s="42" t="s">
        <v>220</v>
      </c>
      <c r="B104" s="41" t="s">
        <v>221</v>
      </c>
      <c r="C104" s="44">
        <v>0</v>
      </c>
      <c r="D104" s="44">
        <v>0</v>
      </c>
      <c r="E104" s="43">
        <v>55491852.020000003</v>
      </c>
      <c r="F104" s="43">
        <v>-973541.26</v>
      </c>
      <c r="G104" s="43">
        <v>-973541.26</v>
      </c>
      <c r="H104" s="43">
        <v>-973541.26</v>
      </c>
      <c r="I104" s="44">
        <v>0</v>
      </c>
      <c r="J104" s="44">
        <v>0</v>
      </c>
      <c r="K104" s="44">
        <v>0</v>
      </c>
      <c r="L104" s="44">
        <v>0</v>
      </c>
      <c r="M104" s="44">
        <v>0</v>
      </c>
      <c r="N104" s="44">
        <v>0</v>
      </c>
      <c r="O104" s="44">
        <v>0</v>
      </c>
      <c r="P104" s="44">
        <v>0</v>
      </c>
      <c r="Q104" s="44">
        <v>0</v>
      </c>
      <c r="R104" s="43">
        <v>52571228.240000002</v>
      </c>
      <c r="S104" s="43">
        <v>-2920623.78</v>
      </c>
      <c r="T104" s="41">
        <v>1</v>
      </c>
    </row>
    <row r="105" spans="1:20" ht="15" customHeight="1" x14ac:dyDescent="0.4">
      <c r="A105" s="42" t="s">
        <v>222</v>
      </c>
      <c r="B105" s="41" t="s">
        <v>223</v>
      </c>
      <c r="C105" s="44">
        <v>0</v>
      </c>
      <c r="D105" s="44">
        <v>0</v>
      </c>
      <c r="E105" s="44">
        <v>0</v>
      </c>
      <c r="F105" s="44">
        <v>0</v>
      </c>
      <c r="G105" s="44">
        <v>0</v>
      </c>
      <c r="H105" s="44">
        <v>0</v>
      </c>
      <c r="I105" s="44">
        <v>0</v>
      </c>
      <c r="J105" s="44">
        <v>0</v>
      </c>
      <c r="K105" s="44">
        <v>0</v>
      </c>
      <c r="L105" s="44">
        <v>0</v>
      </c>
      <c r="M105" s="44">
        <v>0</v>
      </c>
      <c r="N105" s="44">
        <v>0</v>
      </c>
      <c r="O105" s="44">
        <v>0</v>
      </c>
      <c r="P105" s="44">
        <v>0</v>
      </c>
      <c r="Q105" s="44">
        <v>0</v>
      </c>
      <c r="R105" s="44">
        <v>0</v>
      </c>
      <c r="S105" s="44">
        <v>0</v>
      </c>
      <c r="T105" s="41">
        <v>1</v>
      </c>
    </row>
    <row r="106" spans="1:20" ht="15" customHeight="1" x14ac:dyDescent="0.4">
      <c r="A106" s="37" t="s">
        <v>224</v>
      </c>
      <c r="B106" s="38" t="s">
        <v>225</v>
      </c>
      <c r="C106" s="40">
        <v>0</v>
      </c>
      <c r="D106" s="40">
        <v>0</v>
      </c>
      <c r="E106" s="40">
        <v>0</v>
      </c>
      <c r="F106" s="40">
        <v>0</v>
      </c>
      <c r="G106" s="40">
        <v>0</v>
      </c>
      <c r="H106" s="40">
        <v>0</v>
      </c>
      <c r="I106" s="40">
        <v>0</v>
      </c>
      <c r="J106" s="40">
        <v>0</v>
      </c>
      <c r="K106" s="40">
        <v>0</v>
      </c>
      <c r="L106" s="40">
        <v>0</v>
      </c>
      <c r="M106" s="40">
        <v>0</v>
      </c>
      <c r="N106" s="40">
        <v>0</v>
      </c>
      <c r="O106" s="40">
        <v>0</v>
      </c>
      <c r="P106" s="40">
        <v>0</v>
      </c>
      <c r="Q106" s="40">
        <v>0</v>
      </c>
      <c r="R106" s="40">
        <v>0</v>
      </c>
      <c r="S106" s="40">
        <v>0</v>
      </c>
      <c r="T106" s="41">
        <v>2</v>
      </c>
    </row>
    <row r="107" spans="1:20" ht="15" customHeight="1" x14ac:dyDescent="0.4">
      <c r="A107" s="42" t="s">
        <v>226</v>
      </c>
      <c r="B107" s="41" t="s">
        <v>227</v>
      </c>
      <c r="C107" s="44">
        <v>0</v>
      </c>
      <c r="D107" s="44">
        <v>0</v>
      </c>
      <c r="E107" s="44">
        <v>0</v>
      </c>
      <c r="F107" s="44">
        <v>0</v>
      </c>
      <c r="G107" s="44">
        <v>0</v>
      </c>
      <c r="H107" s="44">
        <v>0</v>
      </c>
      <c r="I107" s="44">
        <v>0</v>
      </c>
      <c r="J107" s="44">
        <v>0</v>
      </c>
      <c r="K107" s="44">
        <v>0</v>
      </c>
      <c r="L107" s="44">
        <v>0</v>
      </c>
      <c r="M107" s="44">
        <v>0</v>
      </c>
      <c r="N107" s="44">
        <v>0</v>
      </c>
      <c r="O107" s="44">
        <v>0</v>
      </c>
      <c r="P107" s="44">
        <v>0</v>
      </c>
      <c r="Q107" s="44">
        <v>0</v>
      </c>
      <c r="R107" s="44">
        <v>0</v>
      </c>
      <c r="S107" s="44">
        <v>0</v>
      </c>
      <c r="T107" s="41">
        <v>1</v>
      </c>
    </row>
    <row r="108" spans="1:20" ht="15" customHeight="1" x14ac:dyDescent="0.4">
      <c r="A108" s="42" t="s">
        <v>228</v>
      </c>
      <c r="B108" s="41" t="s">
        <v>229</v>
      </c>
      <c r="C108" s="44">
        <v>0</v>
      </c>
      <c r="D108" s="44">
        <v>0</v>
      </c>
      <c r="E108" s="44">
        <v>0</v>
      </c>
      <c r="F108" s="44">
        <v>0</v>
      </c>
      <c r="G108" s="44">
        <v>0</v>
      </c>
      <c r="H108" s="44">
        <v>0</v>
      </c>
      <c r="I108" s="44">
        <v>0</v>
      </c>
      <c r="J108" s="44">
        <v>0</v>
      </c>
      <c r="K108" s="44">
        <v>0</v>
      </c>
      <c r="L108" s="44">
        <v>0</v>
      </c>
      <c r="M108" s="44">
        <v>0</v>
      </c>
      <c r="N108" s="44">
        <v>0</v>
      </c>
      <c r="O108" s="44">
        <v>0</v>
      </c>
      <c r="P108" s="44">
        <v>0</v>
      </c>
      <c r="Q108" s="44">
        <v>0</v>
      </c>
      <c r="R108" s="44">
        <v>0</v>
      </c>
      <c r="S108" s="44">
        <v>0</v>
      </c>
      <c r="T108" s="41">
        <v>1</v>
      </c>
    </row>
    <row r="109" spans="1:20" ht="15" customHeight="1" x14ac:dyDescent="0.4">
      <c r="A109" s="42" t="s">
        <v>230</v>
      </c>
      <c r="B109" s="41" t="s">
        <v>231</v>
      </c>
      <c r="C109" s="44">
        <v>0</v>
      </c>
      <c r="D109" s="44">
        <v>0</v>
      </c>
      <c r="E109" s="44">
        <v>0</v>
      </c>
      <c r="F109" s="44">
        <v>0</v>
      </c>
      <c r="G109" s="44">
        <v>0</v>
      </c>
      <c r="H109" s="44">
        <v>0</v>
      </c>
      <c r="I109" s="44">
        <v>0</v>
      </c>
      <c r="J109" s="44">
        <v>0</v>
      </c>
      <c r="K109" s="44">
        <v>0</v>
      </c>
      <c r="L109" s="44">
        <v>0</v>
      </c>
      <c r="M109" s="44">
        <v>0</v>
      </c>
      <c r="N109" s="44">
        <v>0</v>
      </c>
      <c r="O109" s="44">
        <v>0</v>
      </c>
      <c r="P109" s="44">
        <v>0</v>
      </c>
      <c r="Q109" s="44">
        <v>0</v>
      </c>
      <c r="R109" s="44">
        <v>0</v>
      </c>
      <c r="S109" s="44">
        <v>0</v>
      </c>
      <c r="T109" s="41">
        <v>1</v>
      </c>
    </row>
    <row r="110" spans="1:20" ht="15" customHeight="1" x14ac:dyDescent="0.4">
      <c r="A110" s="42" t="s">
        <v>232</v>
      </c>
      <c r="B110" s="41" t="s">
        <v>233</v>
      </c>
      <c r="C110" s="44">
        <v>0</v>
      </c>
      <c r="D110" s="44">
        <v>0</v>
      </c>
      <c r="E110" s="44">
        <v>0</v>
      </c>
      <c r="F110" s="44">
        <v>0</v>
      </c>
      <c r="G110" s="44">
        <v>0</v>
      </c>
      <c r="H110" s="44">
        <v>0</v>
      </c>
      <c r="I110" s="44">
        <v>0</v>
      </c>
      <c r="J110" s="44">
        <v>0</v>
      </c>
      <c r="K110" s="44">
        <v>0</v>
      </c>
      <c r="L110" s="44">
        <v>0</v>
      </c>
      <c r="M110" s="44">
        <v>0</v>
      </c>
      <c r="N110" s="44">
        <v>0</v>
      </c>
      <c r="O110" s="44">
        <v>0</v>
      </c>
      <c r="P110" s="44">
        <v>0</v>
      </c>
      <c r="Q110" s="44">
        <v>0</v>
      </c>
      <c r="R110" s="44">
        <v>0</v>
      </c>
      <c r="S110" s="44">
        <v>0</v>
      </c>
      <c r="T110" s="41">
        <v>1</v>
      </c>
    </row>
    <row r="111" spans="1:20" ht="15" customHeight="1" x14ac:dyDescent="0.4">
      <c r="A111" s="42" t="s">
        <v>234</v>
      </c>
      <c r="B111" s="41" t="s">
        <v>235</v>
      </c>
      <c r="C111" s="44">
        <v>0</v>
      </c>
      <c r="D111" s="44">
        <v>0</v>
      </c>
      <c r="E111" s="44">
        <v>0</v>
      </c>
      <c r="F111" s="44">
        <v>0</v>
      </c>
      <c r="G111" s="44">
        <v>0</v>
      </c>
      <c r="H111" s="44">
        <v>0</v>
      </c>
      <c r="I111" s="44">
        <v>0</v>
      </c>
      <c r="J111" s="44">
        <v>0</v>
      </c>
      <c r="K111" s="44">
        <v>0</v>
      </c>
      <c r="L111" s="44">
        <v>0</v>
      </c>
      <c r="M111" s="44">
        <v>0</v>
      </c>
      <c r="N111" s="44">
        <v>0</v>
      </c>
      <c r="O111" s="44">
        <v>0</v>
      </c>
      <c r="P111" s="44">
        <v>0</v>
      </c>
      <c r="Q111" s="44">
        <v>0</v>
      </c>
      <c r="R111" s="44">
        <v>0</v>
      </c>
      <c r="S111" s="44">
        <v>0</v>
      </c>
      <c r="T111" s="41">
        <v>1</v>
      </c>
    </row>
    <row r="112" spans="1:20" ht="15" customHeight="1" x14ac:dyDescent="0.4">
      <c r="A112" s="37" t="s">
        <v>236</v>
      </c>
      <c r="B112" s="38" t="s">
        <v>237</v>
      </c>
      <c r="C112" s="39">
        <v>-3296735477.6500001</v>
      </c>
      <c r="D112" s="39">
        <v>61010888890.650002</v>
      </c>
      <c r="E112" s="39">
        <v>68442910729.099998</v>
      </c>
      <c r="F112" s="39">
        <v>-851557859.92999995</v>
      </c>
      <c r="G112" s="39">
        <v>-751210650.03999996</v>
      </c>
      <c r="H112" s="39">
        <v>2471120730.4400001</v>
      </c>
      <c r="I112" s="40">
        <v>0</v>
      </c>
      <c r="J112" s="40">
        <v>0</v>
      </c>
      <c r="K112" s="40">
        <v>0</v>
      </c>
      <c r="L112" s="40">
        <v>0</v>
      </c>
      <c r="M112" s="40">
        <v>0</v>
      </c>
      <c r="N112" s="40">
        <v>0</v>
      </c>
      <c r="O112" s="40">
        <v>0</v>
      </c>
      <c r="P112" s="40">
        <v>0</v>
      </c>
      <c r="Q112" s="40">
        <v>0</v>
      </c>
      <c r="R112" s="39">
        <v>69311262949.570007</v>
      </c>
      <c r="S112" s="39">
        <v>868352220.47000003</v>
      </c>
      <c r="T112" s="41">
        <v>2</v>
      </c>
    </row>
    <row r="113" spans="1:20" ht="15" customHeight="1" x14ac:dyDescent="0.4">
      <c r="A113" s="37" t="s">
        <v>238</v>
      </c>
      <c r="B113" s="38" t="s">
        <v>239</v>
      </c>
      <c r="C113" s="39">
        <v>-3017538502.6500001</v>
      </c>
      <c r="D113" s="39">
        <v>60879750889.650002</v>
      </c>
      <c r="E113" s="39">
        <v>68299827679.099998</v>
      </c>
      <c r="F113" s="39">
        <v>-851557859.92999995</v>
      </c>
      <c r="G113" s="39">
        <v>-751210650.03999996</v>
      </c>
      <c r="H113" s="39">
        <v>-621113738.55999994</v>
      </c>
      <c r="I113" s="40">
        <v>0</v>
      </c>
      <c r="J113" s="40">
        <v>0</v>
      </c>
      <c r="K113" s="40">
        <v>0</v>
      </c>
      <c r="L113" s="40">
        <v>0</v>
      </c>
      <c r="M113" s="40">
        <v>0</v>
      </c>
      <c r="N113" s="40">
        <v>0</v>
      </c>
      <c r="O113" s="40">
        <v>0</v>
      </c>
      <c r="P113" s="40">
        <v>0</v>
      </c>
      <c r="Q113" s="40">
        <v>0</v>
      </c>
      <c r="R113" s="39">
        <v>66075945430.57</v>
      </c>
      <c r="S113" s="39">
        <v>-2223882248.5300002</v>
      </c>
      <c r="T113" s="41">
        <v>2</v>
      </c>
    </row>
    <row r="114" spans="1:20" ht="15" customHeight="1" x14ac:dyDescent="0.4">
      <c r="A114" s="42" t="s">
        <v>240</v>
      </c>
      <c r="B114" s="41" t="s">
        <v>241</v>
      </c>
      <c r="C114" s="43">
        <v>-3151074240.25</v>
      </c>
      <c r="D114" s="43">
        <v>54242151727.540001</v>
      </c>
      <c r="E114" s="43">
        <v>63314513119.349998</v>
      </c>
      <c r="F114" s="43">
        <v>-790912161.13999999</v>
      </c>
      <c r="G114" s="43">
        <v>-1095155313.3199999</v>
      </c>
      <c r="H114" s="43">
        <v>-1809510960.73</v>
      </c>
      <c r="I114" s="44">
        <v>0</v>
      </c>
      <c r="J114" s="44">
        <v>0</v>
      </c>
      <c r="K114" s="44">
        <v>0</v>
      </c>
      <c r="L114" s="44">
        <v>0</v>
      </c>
      <c r="M114" s="44">
        <v>0</v>
      </c>
      <c r="N114" s="44">
        <v>0</v>
      </c>
      <c r="O114" s="44">
        <v>0</v>
      </c>
      <c r="P114" s="44">
        <v>0</v>
      </c>
      <c r="Q114" s="44">
        <v>0</v>
      </c>
      <c r="R114" s="43">
        <v>59618934684.160004</v>
      </c>
      <c r="S114" s="43">
        <v>-3695578435.1900001</v>
      </c>
      <c r="T114" s="41">
        <v>1</v>
      </c>
    </row>
    <row r="115" spans="1:20" ht="15" customHeight="1" x14ac:dyDescent="0.4">
      <c r="A115" s="42" t="s">
        <v>242</v>
      </c>
      <c r="B115" s="41" t="s">
        <v>243</v>
      </c>
      <c r="C115" s="44">
        <v>0</v>
      </c>
      <c r="D115" s="44">
        <v>0</v>
      </c>
      <c r="E115" s="44">
        <v>0</v>
      </c>
      <c r="F115" s="44">
        <v>0</v>
      </c>
      <c r="G115" s="44">
        <v>0</v>
      </c>
      <c r="H115" s="44">
        <v>0</v>
      </c>
      <c r="I115" s="44">
        <v>0</v>
      </c>
      <c r="J115" s="44">
        <v>0</v>
      </c>
      <c r="K115" s="44">
        <v>0</v>
      </c>
      <c r="L115" s="44">
        <v>0</v>
      </c>
      <c r="M115" s="44">
        <v>0</v>
      </c>
      <c r="N115" s="44">
        <v>0</v>
      </c>
      <c r="O115" s="44">
        <v>0</v>
      </c>
      <c r="P115" s="44">
        <v>0</v>
      </c>
      <c r="Q115" s="44">
        <v>0</v>
      </c>
      <c r="R115" s="44">
        <v>0</v>
      </c>
      <c r="S115" s="44">
        <v>0</v>
      </c>
      <c r="T115" s="41">
        <v>1</v>
      </c>
    </row>
    <row r="116" spans="1:20" ht="15" customHeight="1" x14ac:dyDescent="0.4">
      <c r="A116" s="42" t="s">
        <v>244</v>
      </c>
      <c r="B116" s="41" t="s">
        <v>245</v>
      </c>
      <c r="C116" s="44">
        <v>0</v>
      </c>
      <c r="D116" s="44">
        <v>0</v>
      </c>
      <c r="E116" s="44">
        <v>0</v>
      </c>
      <c r="F116" s="44">
        <v>0</v>
      </c>
      <c r="G116" s="44">
        <v>0</v>
      </c>
      <c r="H116" s="44">
        <v>0</v>
      </c>
      <c r="I116" s="44">
        <v>0</v>
      </c>
      <c r="J116" s="44">
        <v>0</v>
      </c>
      <c r="K116" s="44">
        <v>0</v>
      </c>
      <c r="L116" s="44">
        <v>0</v>
      </c>
      <c r="M116" s="44">
        <v>0</v>
      </c>
      <c r="N116" s="44">
        <v>0</v>
      </c>
      <c r="O116" s="44">
        <v>0</v>
      </c>
      <c r="P116" s="44">
        <v>0</v>
      </c>
      <c r="Q116" s="44">
        <v>0</v>
      </c>
      <c r="R116" s="44">
        <v>0</v>
      </c>
      <c r="S116" s="44">
        <v>0</v>
      </c>
      <c r="T116" s="41">
        <v>1</v>
      </c>
    </row>
    <row r="117" spans="1:20" ht="15" customHeight="1" x14ac:dyDescent="0.4">
      <c r="A117" s="42" t="s">
        <v>246</v>
      </c>
      <c r="B117" s="41" t="s">
        <v>247</v>
      </c>
      <c r="C117" s="44">
        <v>0</v>
      </c>
      <c r="D117" s="44">
        <v>0</v>
      </c>
      <c r="E117" s="44">
        <v>0</v>
      </c>
      <c r="F117" s="44">
        <v>0</v>
      </c>
      <c r="G117" s="44">
        <v>0</v>
      </c>
      <c r="H117" s="44">
        <v>0</v>
      </c>
      <c r="I117" s="44">
        <v>0</v>
      </c>
      <c r="J117" s="44">
        <v>0</v>
      </c>
      <c r="K117" s="44">
        <v>0</v>
      </c>
      <c r="L117" s="44">
        <v>0</v>
      </c>
      <c r="M117" s="44">
        <v>0</v>
      </c>
      <c r="N117" s="44">
        <v>0</v>
      </c>
      <c r="O117" s="44">
        <v>0</v>
      </c>
      <c r="P117" s="44">
        <v>0</v>
      </c>
      <c r="Q117" s="44">
        <v>0</v>
      </c>
      <c r="R117" s="44">
        <v>0</v>
      </c>
      <c r="S117" s="44">
        <v>0</v>
      </c>
      <c r="T117" s="41">
        <v>1</v>
      </c>
    </row>
    <row r="118" spans="1:20" ht="15" customHeight="1" x14ac:dyDescent="0.4">
      <c r="A118" s="42" t="s">
        <v>248</v>
      </c>
      <c r="B118" s="41" t="s">
        <v>249</v>
      </c>
      <c r="C118" s="44">
        <v>0</v>
      </c>
      <c r="D118" s="44">
        <v>0</v>
      </c>
      <c r="E118" s="44">
        <v>0</v>
      </c>
      <c r="F118" s="44">
        <v>0</v>
      </c>
      <c r="G118" s="44">
        <v>0</v>
      </c>
      <c r="H118" s="44">
        <v>0</v>
      </c>
      <c r="I118" s="44">
        <v>0</v>
      </c>
      <c r="J118" s="44">
        <v>0</v>
      </c>
      <c r="K118" s="44">
        <v>0</v>
      </c>
      <c r="L118" s="44">
        <v>0</v>
      </c>
      <c r="M118" s="44">
        <v>0</v>
      </c>
      <c r="N118" s="44">
        <v>0</v>
      </c>
      <c r="O118" s="44">
        <v>0</v>
      </c>
      <c r="P118" s="44">
        <v>0</v>
      </c>
      <c r="Q118" s="44">
        <v>0</v>
      </c>
      <c r="R118" s="44">
        <v>0</v>
      </c>
      <c r="S118" s="44">
        <v>0</v>
      </c>
      <c r="T118" s="41">
        <v>1</v>
      </c>
    </row>
    <row r="119" spans="1:20" ht="15" customHeight="1" x14ac:dyDescent="0.4">
      <c r="A119" s="42" t="s">
        <v>250</v>
      </c>
      <c r="B119" s="41" t="s">
        <v>251</v>
      </c>
      <c r="C119" s="44">
        <v>0</v>
      </c>
      <c r="D119" s="44">
        <v>0</v>
      </c>
      <c r="E119" s="44">
        <v>0</v>
      </c>
      <c r="F119" s="44">
        <v>0</v>
      </c>
      <c r="G119" s="44">
        <v>0</v>
      </c>
      <c r="H119" s="44">
        <v>0</v>
      </c>
      <c r="I119" s="44">
        <v>0</v>
      </c>
      <c r="J119" s="44">
        <v>0</v>
      </c>
      <c r="K119" s="44">
        <v>0</v>
      </c>
      <c r="L119" s="44">
        <v>0</v>
      </c>
      <c r="M119" s="44">
        <v>0</v>
      </c>
      <c r="N119" s="44">
        <v>0</v>
      </c>
      <c r="O119" s="44">
        <v>0</v>
      </c>
      <c r="P119" s="44">
        <v>0</v>
      </c>
      <c r="Q119" s="44">
        <v>0</v>
      </c>
      <c r="R119" s="44">
        <v>0</v>
      </c>
      <c r="S119" s="44">
        <v>0</v>
      </c>
      <c r="T119" s="41">
        <v>1</v>
      </c>
    </row>
    <row r="120" spans="1:20" ht="15" customHeight="1" x14ac:dyDescent="0.4">
      <c r="A120" s="42" t="s">
        <v>252</v>
      </c>
      <c r="B120" s="41" t="s">
        <v>253</v>
      </c>
      <c r="C120" s="44">
        <v>0</v>
      </c>
      <c r="D120" s="44">
        <v>0</v>
      </c>
      <c r="E120" s="44">
        <v>0</v>
      </c>
      <c r="F120" s="44">
        <v>0</v>
      </c>
      <c r="G120" s="44">
        <v>0</v>
      </c>
      <c r="H120" s="44">
        <v>0</v>
      </c>
      <c r="I120" s="44">
        <v>0</v>
      </c>
      <c r="J120" s="44">
        <v>0</v>
      </c>
      <c r="K120" s="44">
        <v>0</v>
      </c>
      <c r="L120" s="44">
        <v>0</v>
      </c>
      <c r="M120" s="44">
        <v>0</v>
      </c>
      <c r="N120" s="44">
        <v>0</v>
      </c>
      <c r="O120" s="44">
        <v>0</v>
      </c>
      <c r="P120" s="44">
        <v>0</v>
      </c>
      <c r="Q120" s="44">
        <v>0</v>
      </c>
      <c r="R120" s="44">
        <v>0</v>
      </c>
      <c r="S120" s="44">
        <v>0</v>
      </c>
      <c r="T120" s="41">
        <v>1</v>
      </c>
    </row>
    <row r="121" spans="1:20" ht="15" customHeight="1" x14ac:dyDescent="0.4">
      <c r="A121" s="42" t="s">
        <v>254</v>
      </c>
      <c r="B121" s="41" t="s">
        <v>255</v>
      </c>
      <c r="C121" s="44">
        <v>0</v>
      </c>
      <c r="D121" s="44">
        <v>0</v>
      </c>
      <c r="E121" s="44">
        <v>0</v>
      </c>
      <c r="F121" s="44">
        <v>0</v>
      </c>
      <c r="G121" s="44">
        <v>0</v>
      </c>
      <c r="H121" s="44">
        <v>0</v>
      </c>
      <c r="I121" s="44">
        <v>0</v>
      </c>
      <c r="J121" s="44">
        <v>0</v>
      </c>
      <c r="K121" s="44">
        <v>0</v>
      </c>
      <c r="L121" s="44">
        <v>0</v>
      </c>
      <c r="M121" s="44">
        <v>0</v>
      </c>
      <c r="N121" s="44">
        <v>0</v>
      </c>
      <c r="O121" s="44">
        <v>0</v>
      </c>
      <c r="P121" s="44">
        <v>0</v>
      </c>
      <c r="Q121" s="44">
        <v>0</v>
      </c>
      <c r="R121" s="44">
        <v>0</v>
      </c>
      <c r="S121" s="44">
        <v>0</v>
      </c>
      <c r="T121" s="41">
        <v>1</v>
      </c>
    </row>
    <row r="122" spans="1:20" ht="15" customHeight="1" x14ac:dyDescent="0.4">
      <c r="A122" s="42" t="s">
        <v>256</v>
      </c>
      <c r="B122" s="41" t="s">
        <v>257</v>
      </c>
      <c r="C122" s="44">
        <v>0</v>
      </c>
      <c r="D122" s="44">
        <v>0</v>
      </c>
      <c r="E122" s="44">
        <v>0</v>
      </c>
      <c r="F122" s="44">
        <v>0</v>
      </c>
      <c r="G122" s="44">
        <v>0</v>
      </c>
      <c r="H122" s="44">
        <v>0</v>
      </c>
      <c r="I122" s="44">
        <v>0</v>
      </c>
      <c r="J122" s="44">
        <v>0</v>
      </c>
      <c r="K122" s="44">
        <v>0</v>
      </c>
      <c r="L122" s="44">
        <v>0</v>
      </c>
      <c r="M122" s="44">
        <v>0</v>
      </c>
      <c r="N122" s="44">
        <v>0</v>
      </c>
      <c r="O122" s="44">
        <v>0</v>
      </c>
      <c r="P122" s="44">
        <v>0</v>
      </c>
      <c r="Q122" s="44">
        <v>0</v>
      </c>
      <c r="R122" s="44">
        <v>0</v>
      </c>
      <c r="S122" s="44">
        <v>0</v>
      </c>
      <c r="T122" s="41">
        <v>1</v>
      </c>
    </row>
    <row r="123" spans="1:20" ht="15" customHeight="1" x14ac:dyDescent="0.4">
      <c r="A123" s="42" t="s">
        <v>258</v>
      </c>
      <c r="B123" s="41" t="s">
        <v>259</v>
      </c>
      <c r="C123" s="44">
        <v>0</v>
      </c>
      <c r="D123" s="44">
        <v>0</v>
      </c>
      <c r="E123" s="44">
        <v>0</v>
      </c>
      <c r="F123" s="44">
        <v>0</v>
      </c>
      <c r="G123" s="44">
        <v>0</v>
      </c>
      <c r="H123" s="44">
        <v>0</v>
      </c>
      <c r="I123" s="44">
        <v>0</v>
      </c>
      <c r="J123" s="44">
        <v>0</v>
      </c>
      <c r="K123" s="44">
        <v>0</v>
      </c>
      <c r="L123" s="44">
        <v>0</v>
      </c>
      <c r="M123" s="44">
        <v>0</v>
      </c>
      <c r="N123" s="44">
        <v>0</v>
      </c>
      <c r="O123" s="44">
        <v>0</v>
      </c>
      <c r="P123" s="44">
        <v>0</v>
      </c>
      <c r="Q123" s="44">
        <v>0</v>
      </c>
      <c r="R123" s="44">
        <v>0</v>
      </c>
      <c r="S123" s="44">
        <v>0</v>
      </c>
      <c r="T123" s="41">
        <v>1</v>
      </c>
    </row>
    <row r="124" spans="1:20" ht="15" customHeight="1" x14ac:dyDescent="0.4">
      <c r="A124" s="42" t="s">
        <v>260</v>
      </c>
      <c r="B124" s="41" t="s">
        <v>261</v>
      </c>
      <c r="C124" s="43">
        <v>37691069.689999998</v>
      </c>
      <c r="D124" s="43">
        <v>295962333.74000001</v>
      </c>
      <c r="E124" s="43">
        <v>77922318.409999996</v>
      </c>
      <c r="F124" s="43">
        <v>142174623.06999999</v>
      </c>
      <c r="G124" s="43">
        <v>18427301.16</v>
      </c>
      <c r="H124" s="43">
        <v>-37962072.229999997</v>
      </c>
      <c r="I124" s="44">
        <v>0</v>
      </c>
      <c r="J124" s="44">
        <v>0</v>
      </c>
      <c r="K124" s="44">
        <v>0</v>
      </c>
      <c r="L124" s="44">
        <v>0</v>
      </c>
      <c r="M124" s="44">
        <v>0</v>
      </c>
      <c r="N124" s="44">
        <v>0</v>
      </c>
      <c r="O124" s="44">
        <v>0</v>
      </c>
      <c r="P124" s="44">
        <v>0</v>
      </c>
      <c r="Q124" s="44">
        <v>0</v>
      </c>
      <c r="R124" s="43">
        <v>200562170.41</v>
      </c>
      <c r="S124" s="43">
        <v>122639852</v>
      </c>
      <c r="T124" s="41">
        <v>1</v>
      </c>
    </row>
    <row r="125" spans="1:20" ht="15" customHeight="1" x14ac:dyDescent="0.4">
      <c r="A125" s="42" t="s">
        <v>262</v>
      </c>
      <c r="B125" s="41" t="s">
        <v>263</v>
      </c>
      <c r="C125" s="43">
        <v>121980262.7</v>
      </c>
      <c r="D125" s="43">
        <v>2446546258.27</v>
      </c>
      <c r="E125" s="43">
        <v>2822229681</v>
      </c>
      <c r="F125" s="43">
        <v>-884763249</v>
      </c>
      <c r="G125" s="43">
        <v>33483082</v>
      </c>
      <c r="H125" s="43">
        <v>4759914</v>
      </c>
      <c r="I125" s="44">
        <v>0</v>
      </c>
      <c r="J125" s="44">
        <v>0</v>
      </c>
      <c r="K125" s="44">
        <v>0</v>
      </c>
      <c r="L125" s="44">
        <v>0</v>
      </c>
      <c r="M125" s="44">
        <v>0</v>
      </c>
      <c r="N125" s="44">
        <v>0</v>
      </c>
      <c r="O125" s="44">
        <v>0</v>
      </c>
      <c r="P125" s="44">
        <v>0</v>
      </c>
      <c r="Q125" s="44">
        <v>0</v>
      </c>
      <c r="R125" s="43">
        <v>1975709428</v>
      </c>
      <c r="S125" s="43">
        <v>-846520253</v>
      </c>
      <c r="T125" s="41">
        <v>1</v>
      </c>
    </row>
    <row r="126" spans="1:20" ht="15" customHeight="1" x14ac:dyDescent="0.4">
      <c r="A126" s="42" t="s">
        <v>264</v>
      </c>
      <c r="B126" s="41" t="s">
        <v>265</v>
      </c>
      <c r="C126" s="44">
        <v>0</v>
      </c>
      <c r="D126" s="44">
        <v>0</v>
      </c>
      <c r="E126" s="44">
        <v>0</v>
      </c>
      <c r="F126" s="44">
        <v>0</v>
      </c>
      <c r="G126" s="44">
        <v>0</v>
      </c>
      <c r="H126" s="44">
        <v>0</v>
      </c>
      <c r="I126" s="44">
        <v>0</v>
      </c>
      <c r="J126" s="44">
        <v>0</v>
      </c>
      <c r="K126" s="44">
        <v>0</v>
      </c>
      <c r="L126" s="44">
        <v>0</v>
      </c>
      <c r="M126" s="44">
        <v>0</v>
      </c>
      <c r="N126" s="44">
        <v>0</v>
      </c>
      <c r="O126" s="44">
        <v>0</v>
      </c>
      <c r="P126" s="44">
        <v>0</v>
      </c>
      <c r="Q126" s="44">
        <v>0</v>
      </c>
      <c r="R126" s="44">
        <v>0</v>
      </c>
      <c r="S126" s="44">
        <v>0</v>
      </c>
      <c r="T126" s="41">
        <v>1</v>
      </c>
    </row>
    <row r="127" spans="1:20" ht="15" customHeight="1" x14ac:dyDescent="0.4">
      <c r="A127" s="42" t="s">
        <v>266</v>
      </c>
      <c r="B127" s="41" t="s">
        <v>267</v>
      </c>
      <c r="C127" s="44">
        <v>0</v>
      </c>
      <c r="D127" s="44">
        <v>0</v>
      </c>
      <c r="E127" s="44">
        <v>0</v>
      </c>
      <c r="F127" s="44">
        <v>0</v>
      </c>
      <c r="G127" s="44">
        <v>0</v>
      </c>
      <c r="H127" s="44">
        <v>0</v>
      </c>
      <c r="I127" s="44">
        <v>0</v>
      </c>
      <c r="J127" s="44">
        <v>0</v>
      </c>
      <c r="K127" s="44">
        <v>0</v>
      </c>
      <c r="L127" s="44">
        <v>0</v>
      </c>
      <c r="M127" s="44">
        <v>0</v>
      </c>
      <c r="N127" s="44">
        <v>0</v>
      </c>
      <c r="O127" s="44">
        <v>0</v>
      </c>
      <c r="P127" s="44">
        <v>0</v>
      </c>
      <c r="Q127" s="44">
        <v>0</v>
      </c>
      <c r="R127" s="44">
        <v>0</v>
      </c>
      <c r="S127" s="44">
        <v>0</v>
      </c>
      <c r="T127" s="41">
        <v>1</v>
      </c>
    </row>
    <row r="128" spans="1:20" ht="15" customHeight="1" x14ac:dyDescent="0.4">
      <c r="A128" s="42" t="s">
        <v>268</v>
      </c>
      <c r="B128" s="41" t="s">
        <v>269</v>
      </c>
      <c r="C128" s="43">
        <v>267046860.05000001</v>
      </c>
      <c r="D128" s="43">
        <v>1444069186.0999999</v>
      </c>
      <c r="E128" s="43">
        <v>558603480.57000005</v>
      </c>
      <c r="F128" s="43">
        <v>721083186.13999999</v>
      </c>
      <c r="G128" s="43">
        <v>-19550410.879999999</v>
      </c>
      <c r="H128" s="43">
        <v>-103177649.59999999</v>
      </c>
      <c r="I128" s="44">
        <v>0</v>
      </c>
      <c r="J128" s="44">
        <v>0</v>
      </c>
      <c r="K128" s="44">
        <v>0</v>
      </c>
      <c r="L128" s="44">
        <v>0</v>
      </c>
      <c r="M128" s="44">
        <v>0</v>
      </c>
      <c r="N128" s="44">
        <v>0</v>
      </c>
      <c r="O128" s="44">
        <v>0</v>
      </c>
      <c r="P128" s="44">
        <v>0</v>
      </c>
      <c r="Q128" s="44">
        <v>0</v>
      </c>
      <c r="R128" s="43">
        <v>1156958606.23</v>
      </c>
      <c r="S128" s="43">
        <v>598355125.65999997</v>
      </c>
      <c r="T128" s="41">
        <v>1</v>
      </c>
    </row>
    <row r="129" spans="1:20" ht="15" customHeight="1" x14ac:dyDescent="0.4">
      <c r="A129" s="42" t="s">
        <v>270</v>
      </c>
      <c r="B129" s="41" t="s">
        <v>271</v>
      </c>
      <c r="C129" s="44">
        <v>0</v>
      </c>
      <c r="D129" s="44">
        <v>0</v>
      </c>
      <c r="E129" s="44">
        <v>0</v>
      </c>
      <c r="F129" s="44">
        <v>0</v>
      </c>
      <c r="G129" s="44">
        <v>0</v>
      </c>
      <c r="H129" s="44">
        <v>0</v>
      </c>
      <c r="I129" s="44">
        <v>0</v>
      </c>
      <c r="J129" s="44">
        <v>0</v>
      </c>
      <c r="K129" s="44">
        <v>0</v>
      </c>
      <c r="L129" s="44">
        <v>0</v>
      </c>
      <c r="M129" s="44">
        <v>0</v>
      </c>
      <c r="N129" s="44">
        <v>0</v>
      </c>
      <c r="O129" s="44">
        <v>0</v>
      </c>
      <c r="P129" s="44">
        <v>0</v>
      </c>
      <c r="Q129" s="44">
        <v>0</v>
      </c>
      <c r="R129" s="44">
        <v>0</v>
      </c>
      <c r="S129" s="44">
        <v>0</v>
      </c>
      <c r="T129" s="41">
        <v>1</v>
      </c>
    </row>
    <row r="130" spans="1:20" ht="15" customHeight="1" x14ac:dyDescent="0.4">
      <c r="A130" s="42" t="s">
        <v>272</v>
      </c>
      <c r="B130" s="41" t="s">
        <v>273</v>
      </c>
      <c r="C130" s="44">
        <v>0</v>
      </c>
      <c r="D130" s="44">
        <v>0</v>
      </c>
      <c r="E130" s="44">
        <v>0</v>
      </c>
      <c r="F130" s="44">
        <v>0</v>
      </c>
      <c r="G130" s="44">
        <v>0</v>
      </c>
      <c r="H130" s="44">
        <v>0</v>
      </c>
      <c r="I130" s="44">
        <v>0</v>
      </c>
      <c r="J130" s="44">
        <v>0</v>
      </c>
      <c r="K130" s="44">
        <v>0</v>
      </c>
      <c r="L130" s="44">
        <v>0</v>
      </c>
      <c r="M130" s="44">
        <v>0</v>
      </c>
      <c r="N130" s="44">
        <v>0</v>
      </c>
      <c r="O130" s="44">
        <v>0</v>
      </c>
      <c r="P130" s="44">
        <v>0</v>
      </c>
      <c r="Q130" s="44">
        <v>0</v>
      </c>
      <c r="R130" s="44">
        <v>0</v>
      </c>
      <c r="S130" s="44">
        <v>0</v>
      </c>
      <c r="T130" s="41">
        <v>1</v>
      </c>
    </row>
    <row r="131" spans="1:20" ht="15" customHeight="1" x14ac:dyDescent="0.4">
      <c r="A131" s="42" t="s">
        <v>274</v>
      </c>
      <c r="B131" s="41" t="s">
        <v>275</v>
      </c>
      <c r="C131" s="44">
        <v>0</v>
      </c>
      <c r="D131" s="44">
        <v>0</v>
      </c>
      <c r="E131" s="43">
        <v>244668.77</v>
      </c>
      <c r="F131" s="44">
        <v>0</v>
      </c>
      <c r="G131" s="44">
        <v>0</v>
      </c>
      <c r="H131" s="44">
        <v>0</v>
      </c>
      <c r="I131" s="44">
        <v>0</v>
      </c>
      <c r="J131" s="44">
        <v>0</v>
      </c>
      <c r="K131" s="44">
        <v>0</v>
      </c>
      <c r="L131" s="44">
        <v>0</v>
      </c>
      <c r="M131" s="44">
        <v>0</v>
      </c>
      <c r="N131" s="44">
        <v>0</v>
      </c>
      <c r="O131" s="44">
        <v>0</v>
      </c>
      <c r="P131" s="44">
        <v>0</v>
      </c>
      <c r="Q131" s="44">
        <v>0</v>
      </c>
      <c r="R131" s="43">
        <v>244668.77</v>
      </c>
      <c r="S131" s="44">
        <v>0</v>
      </c>
      <c r="T131" s="41">
        <v>1</v>
      </c>
    </row>
    <row r="132" spans="1:20" ht="15" customHeight="1" x14ac:dyDescent="0.4">
      <c r="A132" s="42" t="s">
        <v>276</v>
      </c>
      <c r="B132" s="41" t="s">
        <v>277</v>
      </c>
      <c r="C132" s="44">
        <v>0</v>
      </c>
      <c r="D132" s="44">
        <v>0</v>
      </c>
      <c r="E132" s="44">
        <v>0</v>
      </c>
      <c r="F132" s="44">
        <v>0</v>
      </c>
      <c r="G132" s="44">
        <v>0</v>
      </c>
      <c r="H132" s="44">
        <v>0</v>
      </c>
      <c r="I132" s="44">
        <v>0</v>
      </c>
      <c r="J132" s="44">
        <v>0</v>
      </c>
      <c r="K132" s="44">
        <v>0</v>
      </c>
      <c r="L132" s="44">
        <v>0</v>
      </c>
      <c r="M132" s="44">
        <v>0</v>
      </c>
      <c r="N132" s="44">
        <v>0</v>
      </c>
      <c r="O132" s="44">
        <v>0</v>
      </c>
      <c r="P132" s="44">
        <v>0</v>
      </c>
      <c r="Q132" s="44">
        <v>0</v>
      </c>
      <c r="R132" s="44">
        <v>0</v>
      </c>
      <c r="S132" s="44">
        <v>0</v>
      </c>
      <c r="T132" s="41">
        <v>1</v>
      </c>
    </row>
    <row r="133" spans="1:20" ht="15" customHeight="1" x14ac:dyDescent="0.4">
      <c r="A133" s="42" t="s">
        <v>278</v>
      </c>
      <c r="B133" s="41" t="s">
        <v>279</v>
      </c>
      <c r="C133" s="44">
        <v>0</v>
      </c>
      <c r="D133" s="44">
        <v>0</v>
      </c>
      <c r="E133" s="44">
        <v>0</v>
      </c>
      <c r="F133" s="44">
        <v>0</v>
      </c>
      <c r="G133" s="44">
        <v>0</v>
      </c>
      <c r="H133" s="44">
        <v>0</v>
      </c>
      <c r="I133" s="44">
        <v>0</v>
      </c>
      <c r="J133" s="44">
        <v>0</v>
      </c>
      <c r="K133" s="44">
        <v>0</v>
      </c>
      <c r="L133" s="44">
        <v>0</v>
      </c>
      <c r="M133" s="44">
        <v>0</v>
      </c>
      <c r="N133" s="44">
        <v>0</v>
      </c>
      <c r="O133" s="44">
        <v>0</v>
      </c>
      <c r="P133" s="44">
        <v>0</v>
      </c>
      <c r="Q133" s="44">
        <v>0</v>
      </c>
      <c r="R133" s="44">
        <v>0</v>
      </c>
      <c r="S133" s="44">
        <v>0</v>
      </c>
      <c r="T133" s="41">
        <v>1</v>
      </c>
    </row>
    <row r="134" spans="1:20" ht="15" customHeight="1" x14ac:dyDescent="0.4">
      <c r="A134" s="42" t="s">
        <v>280</v>
      </c>
      <c r="B134" s="41" t="s">
        <v>281</v>
      </c>
      <c r="C134" s="44">
        <v>0</v>
      </c>
      <c r="D134" s="44">
        <v>0</v>
      </c>
      <c r="E134" s="44">
        <v>0</v>
      </c>
      <c r="F134" s="44">
        <v>0</v>
      </c>
      <c r="G134" s="44">
        <v>0</v>
      </c>
      <c r="H134" s="44">
        <v>0</v>
      </c>
      <c r="I134" s="44">
        <v>0</v>
      </c>
      <c r="J134" s="44">
        <v>0</v>
      </c>
      <c r="K134" s="44">
        <v>0</v>
      </c>
      <c r="L134" s="44">
        <v>0</v>
      </c>
      <c r="M134" s="44">
        <v>0</v>
      </c>
      <c r="N134" s="44">
        <v>0</v>
      </c>
      <c r="O134" s="44">
        <v>0</v>
      </c>
      <c r="P134" s="44">
        <v>0</v>
      </c>
      <c r="Q134" s="44">
        <v>0</v>
      </c>
      <c r="R134" s="44">
        <v>0</v>
      </c>
      <c r="S134" s="44">
        <v>0</v>
      </c>
      <c r="T134" s="41">
        <v>1</v>
      </c>
    </row>
    <row r="135" spans="1:20" ht="15" customHeight="1" x14ac:dyDescent="0.4">
      <c r="A135" s="42" t="s">
        <v>282</v>
      </c>
      <c r="B135" s="41" t="s">
        <v>283</v>
      </c>
      <c r="C135" s="44">
        <v>0</v>
      </c>
      <c r="D135" s="44">
        <v>0</v>
      </c>
      <c r="E135" s="44">
        <v>0</v>
      </c>
      <c r="F135" s="44">
        <v>0</v>
      </c>
      <c r="G135" s="44">
        <v>0</v>
      </c>
      <c r="H135" s="44">
        <v>0</v>
      </c>
      <c r="I135" s="44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1">
        <v>1</v>
      </c>
    </row>
    <row r="136" spans="1:20" ht="15" customHeight="1" x14ac:dyDescent="0.4">
      <c r="A136" s="42" t="s">
        <v>284</v>
      </c>
      <c r="B136" s="41" t="s">
        <v>285</v>
      </c>
      <c r="C136" s="44">
        <v>0</v>
      </c>
      <c r="D136" s="44">
        <v>0</v>
      </c>
      <c r="E136" s="44">
        <v>0</v>
      </c>
      <c r="F136" s="44">
        <v>0</v>
      </c>
      <c r="G136" s="44">
        <v>0</v>
      </c>
      <c r="H136" s="44">
        <v>0</v>
      </c>
      <c r="I136" s="44">
        <v>0</v>
      </c>
      <c r="J136" s="44">
        <v>0</v>
      </c>
      <c r="K136" s="44">
        <v>0</v>
      </c>
      <c r="L136" s="44">
        <v>0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1">
        <v>1</v>
      </c>
    </row>
    <row r="137" spans="1:20" ht="15" customHeight="1" x14ac:dyDescent="0.4">
      <c r="A137" s="42" t="s">
        <v>286</v>
      </c>
      <c r="B137" s="41" t="s">
        <v>287</v>
      </c>
      <c r="C137" s="44">
        <v>0</v>
      </c>
      <c r="D137" s="44">
        <v>0</v>
      </c>
      <c r="E137" s="44">
        <v>0</v>
      </c>
      <c r="F137" s="44">
        <v>0</v>
      </c>
      <c r="G137" s="44">
        <v>0</v>
      </c>
      <c r="H137" s="44">
        <v>0</v>
      </c>
      <c r="I137" s="44">
        <v>0</v>
      </c>
      <c r="J137" s="44">
        <v>0</v>
      </c>
      <c r="K137" s="44">
        <v>0</v>
      </c>
      <c r="L137" s="44">
        <v>0</v>
      </c>
      <c r="M137" s="44">
        <v>0</v>
      </c>
      <c r="N137" s="44">
        <v>0</v>
      </c>
      <c r="O137" s="44">
        <v>0</v>
      </c>
      <c r="P137" s="44">
        <v>0</v>
      </c>
      <c r="Q137" s="44">
        <v>0</v>
      </c>
      <c r="R137" s="44">
        <v>0</v>
      </c>
      <c r="S137" s="44">
        <v>0</v>
      </c>
      <c r="T137" s="41">
        <v>1</v>
      </c>
    </row>
    <row r="138" spans="1:20" ht="15" customHeight="1" x14ac:dyDescent="0.4">
      <c r="A138" s="42" t="s">
        <v>288</v>
      </c>
      <c r="B138" s="41" t="s">
        <v>289</v>
      </c>
      <c r="C138" s="44">
        <v>0</v>
      </c>
      <c r="D138" s="44">
        <v>0</v>
      </c>
      <c r="E138" s="44">
        <v>0</v>
      </c>
      <c r="F138" s="44">
        <v>0</v>
      </c>
      <c r="G138" s="44">
        <v>0</v>
      </c>
      <c r="H138" s="44">
        <v>0</v>
      </c>
      <c r="I138" s="44">
        <v>0</v>
      </c>
      <c r="J138" s="44">
        <v>0</v>
      </c>
      <c r="K138" s="44">
        <v>0</v>
      </c>
      <c r="L138" s="44">
        <v>0</v>
      </c>
      <c r="M138" s="44">
        <v>0</v>
      </c>
      <c r="N138" s="44">
        <v>0</v>
      </c>
      <c r="O138" s="44">
        <v>0</v>
      </c>
      <c r="P138" s="44">
        <v>0</v>
      </c>
      <c r="Q138" s="44">
        <v>0</v>
      </c>
      <c r="R138" s="44">
        <v>0</v>
      </c>
      <c r="S138" s="44">
        <v>0</v>
      </c>
      <c r="T138" s="41">
        <v>1</v>
      </c>
    </row>
    <row r="139" spans="1:20" ht="15" customHeight="1" x14ac:dyDescent="0.4">
      <c r="A139" s="42" t="s">
        <v>290</v>
      </c>
      <c r="B139" s="41" t="s">
        <v>291</v>
      </c>
      <c r="C139" s="43">
        <v>-160913230.84</v>
      </c>
      <c r="D139" s="43">
        <v>887370389</v>
      </c>
      <c r="E139" s="43">
        <v>1100531487</v>
      </c>
      <c r="F139" s="43">
        <v>-39140259</v>
      </c>
      <c r="G139" s="43">
        <v>311584691</v>
      </c>
      <c r="H139" s="43">
        <v>-115303516</v>
      </c>
      <c r="I139" s="44">
        <v>0</v>
      </c>
      <c r="J139" s="44">
        <v>0</v>
      </c>
      <c r="K139" s="44">
        <v>0</v>
      </c>
      <c r="L139" s="44">
        <v>0</v>
      </c>
      <c r="M139" s="44">
        <v>0</v>
      </c>
      <c r="N139" s="44">
        <v>0</v>
      </c>
      <c r="O139" s="44">
        <v>0</v>
      </c>
      <c r="P139" s="44">
        <v>0</v>
      </c>
      <c r="Q139" s="44">
        <v>0</v>
      </c>
      <c r="R139" s="43">
        <v>1257672403</v>
      </c>
      <c r="S139" s="43">
        <v>157140916</v>
      </c>
      <c r="T139" s="41">
        <v>1</v>
      </c>
    </row>
    <row r="140" spans="1:20" ht="15" customHeight="1" x14ac:dyDescent="0.4">
      <c r="A140" s="42" t="s">
        <v>292</v>
      </c>
      <c r="B140" s="41" t="s">
        <v>293</v>
      </c>
      <c r="C140" s="44">
        <v>0</v>
      </c>
      <c r="D140" s="44">
        <v>0</v>
      </c>
      <c r="E140" s="44">
        <v>0</v>
      </c>
      <c r="F140" s="44">
        <v>0</v>
      </c>
      <c r="G140" s="44">
        <v>0</v>
      </c>
      <c r="H140" s="44">
        <v>0</v>
      </c>
      <c r="I140" s="44">
        <v>0</v>
      </c>
      <c r="J140" s="44">
        <v>0</v>
      </c>
      <c r="K140" s="44">
        <v>0</v>
      </c>
      <c r="L140" s="44">
        <v>0</v>
      </c>
      <c r="M140" s="44">
        <v>0</v>
      </c>
      <c r="N140" s="44">
        <v>0</v>
      </c>
      <c r="O140" s="44">
        <v>0</v>
      </c>
      <c r="P140" s="44">
        <v>0</v>
      </c>
      <c r="Q140" s="44">
        <v>0</v>
      </c>
      <c r="R140" s="44">
        <v>0</v>
      </c>
      <c r="S140" s="44">
        <v>0</v>
      </c>
      <c r="T140" s="41">
        <v>1</v>
      </c>
    </row>
    <row r="141" spans="1:20" ht="15" customHeight="1" x14ac:dyDescent="0.4">
      <c r="A141" s="42" t="s">
        <v>294</v>
      </c>
      <c r="B141" s="41" t="s">
        <v>295</v>
      </c>
      <c r="C141" s="43">
        <v>-132269224</v>
      </c>
      <c r="D141" s="43">
        <v>1563650995</v>
      </c>
      <c r="E141" s="43">
        <v>425782924</v>
      </c>
      <c r="F141" s="44">
        <v>0</v>
      </c>
      <c r="G141" s="44">
        <v>0</v>
      </c>
      <c r="H141" s="43">
        <v>1440080546</v>
      </c>
      <c r="I141" s="44">
        <v>0</v>
      </c>
      <c r="J141" s="44">
        <v>0</v>
      </c>
      <c r="K141" s="44">
        <v>0</v>
      </c>
      <c r="L141" s="44">
        <v>0</v>
      </c>
      <c r="M141" s="44">
        <v>0</v>
      </c>
      <c r="N141" s="44">
        <v>0</v>
      </c>
      <c r="O141" s="44">
        <v>0</v>
      </c>
      <c r="P141" s="44">
        <v>0</v>
      </c>
      <c r="Q141" s="44">
        <v>0</v>
      </c>
      <c r="R141" s="43">
        <v>1865863470</v>
      </c>
      <c r="S141" s="43">
        <v>1440080546</v>
      </c>
      <c r="T141" s="41">
        <v>1</v>
      </c>
    </row>
    <row r="142" spans="1:20" ht="15" customHeight="1" x14ac:dyDescent="0.4">
      <c r="A142" s="42" t="s">
        <v>296</v>
      </c>
      <c r="B142" s="41" t="s">
        <v>297</v>
      </c>
      <c r="C142" s="44">
        <v>0</v>
      </c>
      <c r="D142" s="44">
        <v>0</v>
      </c>
      <c r="E142" s="44">
        <v>0</v>
      </c>
      <c r="F142" s="44">
        <v>0</v>
      </c>
      <c r="G142" s="44">
        <v>0</v>
      </c>
      <c r="H142" s="44">
        <v>0</v>
      </c>
      <c r="I142" s="44">
        <v>0</v>
      </c>
      <c r="J142" s="44">
        <v>0</v>
      </c>
      <c r="K142" s="44">
        <v>0</v>
      </c>
      <c r="L142" s="44">
        <v>0</v>
      </c>
      <c r="M142" s="44">
        <v>0</v>
      </c>
      <c r="N142" s="44">
        <v>0</v>
      </c>
      <c r="O142" s="44">
        <v>0</v>
      </c>
      <c r="P142" s="44">
        <v>0</v>
      </c>
      <c r="Q142" s="44">
        <v>0</v>
      </c>
      <c r="R142" s="44">
        <v>0</v>
      </c>
      <c r="S142" s="44">
        <v>0</v>
      </c>
      <c r="T142" s="41">
        <v>1</v>
      </c>
    </row>
    <row r="143" spans="1:20" ht="15" customHeight="1" x14ac:dyDescent="0.4">
      <c r="A143" s="37" t="s">
        <v>298</v>
      </c>
      <c r="B143" s="38" t="s">
        <v>299</v>
      </c>
      <c r="C143" s="39">
        <v>-279196975</v>
      </c>
      <c r="D143" s="39">
        <v>131138001</v>
      </c>
      <c r="E143" s="39">
        <v>143083050</v>
      </c>
      <c r="F143" s="40">
        <v>0</v>
      </c>
      <c r="G143" s="40">
        <v>0</v>
      </c>
      <c r="H143" s="39">
        <v>3092234469</v>
      </c>
      <c r="I143" s="40">
        <v>0</v>
      </c>
      <c r="J143" s="40">
        <v>0</v>
      </c>
      <c r="K143" s="40">
        <v>0</v>
      </c>
      <c r="L143" s="40">
        <v>0</v>
      </c>
      <c r="M143" s="40">
        <v>0</v>
      </c>
      <c r="N143" s="40">
        <v>0</v>
      </c>
      <c r="O143" s="40">
        <v>0</v>
      </c>
      <c r="P143" s="40">
        <v>0</v>
      </c>
      <c r="Q143" s="40">
        <v>0</v>
      </c>
      <c r="R143" s="39">
        <v>3235317519</v>
      </c>
      <c r="S143" s="39">
        <v>3092234469</v>
      </c>
      <c r="T143" s="41">
        <v>2</v>
      </c>
    </row>
    <row r="144" spans="1:20" ht="15" customHeight="1" x14ac:dyDescent="0.4">
      <c r="A144" s="42" t="s">
        <v>300</v>
      </c>
      <c r="B144" s="41" t="s">
        <v>301</v>
      </c>
      <c r="C144" s="44">
        <v>0</v>
      </c>
      <c r="D144" s="44">
        <v>0</v>
      </c>
      <c r="E144" s="44">
        <v>0</v>
      </c>
      <c r="F144" s="44">
        <v>0</v>
      </c>
      <c r="G144" s="44">
        <v>0</v>
      </c>
      <c r="H144" s="44">
        <v>0</v>
      </c>
      <c r="I144" s="44">
        <v>0</v>
      </c>
      <c r="J144" s="44">
        <v>0</v>
      </c>
      <c r="K144" s="44">
        <v>0</v>
      </c>
      <c r="L144" s="44">
        <v>0</v>
      </c>
      <c r="M144" s="44">
        <v>0</v>
      </c>
      <c r="N144" s="44">
        <v>0</v>
      </c>
      <c r="O144" s="44">
        <v>0</v>
      </c>
      <c r="P144" s="44">
        <v>0</v>
      </c>
      <c r="Q144" s="44">
        <v>0</v>
      </c>
      <c r="R144" s="44">
        <v>0</v>
      </c>
      <c r="S144" s="44">
        <v>0</v>
      </c>
      <c r="T144" s="41">
        <v>1</v>
      </c>
    </row>
    <row r="145" spans="1:20" ht="15" customHeight="1" x14ac:dyDescent="0.4">
      <c r="A145" s="42" t="s">
        <v>302</v>
      </c>
      <c r="B145" s="41" t="s">
        <v>303</v>
      </c>
      <c r="C145" s="44">
        <v>0</v>
      </c>
      <c r="D145" s="44">
        <v>0</v>
      </c>
      <c r="E145" s="44">
        <v>0</v>
      </c>
      <c r="F145" s="44">
        <v>0</v>
      </c>
      <c r="G145" s="44">
        <v>0</v>
      </c>
      <c r="H145" s="44">
        <v>0</v>
      </c>
      <c r="I145" s="44">
        <v>0</v>
      </c>
      <c r="J145" s="44">
        <v>0</v>
      </c>
      <c r="K145" s="44">
        <v>0</v>
      </c>
      <c r="L145" s="44">
        <v>0</v>
      </c>
      <c r="M145" s="44">
        <v>0</v>
      </c>
      <c r="N145" s="44">
        <v>0</v>
      </c>
      <c r="O145" s="44">
        <v>0</v>
      </c>
      <c r="P145" s="44">
        <v>0</v>
      </c>
      <c r="Q145" s="44">
        <v>0</v>
      </c>
      <c r="R145" s="44">
        <v>0</v>
      </c>
      <c r="S145" s="44">
        <v>0</v>
      </c>
      <c r="T145" s="41">
        <v>1</v>
      </c>
    </row>
    <row r="146" spans="1:20" ht="15" customHeight="1" x14ac:dyDescent="0.4">
      <c r="A146" s="42" t="s">
        <v>304</v>
      </c>
      <c r="B146" s="41" t="s">
        <v>305</v>
      </c>
      <c r="C146" s="44">
        <v>0</v>
      </c>
      <c r="D146" s="44">
        <v>0</v>
      </c>
      <c r="E146" s="44">
        <v>0</v>
      </c>
      <c r="F146" s="44">
        <v>0</v>
      </c>
      <c r="G146" s="44">
        <v>0</v>
      </c>
      <c r="H146" s="44">
        <v>0</v>
      </c>
      <c r="I146" s="44">
        <v>0</v>
      </c>
      <c r="J146" s="44">
        <v>0</v>
      </c>
      <c r="K146" s="44">
        <v>0</v>
      </c>
      <c r="L146" s="44">
        <v>0</v>
      </c>
      <c r="M146" s="44">
        <v>0</v>
      </c>
      <c r="N146" s="44">
        <v>0</v>
      </c>
      <c r="O146" s="44">
        <v>0</v>
      </c>
      <c r="P146" s="44">
        <v>0</v>
      </c>
      <c r="Q146" s="44">
        <v>0</v>
      </c>
      <c r="R146" s="44">
        <v>0</v>
      </c>
      <c r="S146" s="44">
        <v>0</v>
      </c>
      <c r="T146" s="41">
        <v>1</v>
      </c>
    </row>
    <row r="147" spans="1:20" ht="15" customHeight="1" x14ac:dyDescent="0.4">
      <c r="A147" s="42" t="s">
        <v>306</v>
      </c>
      <c r="B147" s="41" t="s">
        <v>307</v>
      </c>
      <c r="C147" s="44">
        <v>0</v>
      </c>
      <c r="D147" s="44">
        <v>0</v>
      </c>
      <c r="E147" s="44">
        <v>0</v>
      </c>
      <c r="F147" s="44">
        <v>0</v>
      </c>
      <c r="G147" s="44">
        <v>0</v>
      </c>
      <c r="H147" s="44">
        <v>0</v>
      </c>
      <c r="I147" s="44">
        <v>0</v>
      </c>
      <c r="J147" s="44">
        <v>0</v>
      </c>
      <c r="K147" s="44">
        <v>0</v>
      </c>
      <c r="L147" s="44">
        <v>0</v>
      </c>
      <c r="M147" s="44">
        <v>0</v>
      </c>
      <c r="N147" s="44">
        <v>0</v>
      </c>
      <c r="O147" s="44">
        <v>0</v>
      </c>
      <c r="P147" s="44">
        <v>0</v>
      </c>
      <c r="Q147" s="44">
        <v>0</v>
      </c>
      <c r="R147" s="44">
        <v>0</v>
      </c>
      <c r="S147" s="44">
        <v>0</v>
      </c>
      <c r="T147" s="41">
        <v>1</v>
      </c>
    </row>
    <row r="148" spans="1:20" ht="15" customHeight="1" x14ac:dyDescent="0.4">
      <c r="A148" s="42" t="s">
        <v>308</v>
      </c>
      <c r="B148" s="41" t="s">
        <v>309</v>
      </c>
      <c r="C148" s="44">
        <v>0</v>
      </c>
      <c r="D148" s="44">
        <v>0</v>
      </c>
      <c r="E148" s="44">
        <v>0</v>
      </c>
      <c r="F148" s="44">
        <v>0</v>
      </c>
      <c r="G148" s="44">
        <v>0</v>
      </c>
      <c r="H148" s="44">
        <v>0</v>
      </c>
      <c r="I148" s="44">
        <v>0</v>
      </c>
      <c r="J148" s="44">
        <v>0</v>
      </c>
      <c r="K148" s="44">
        <v>0</v>
      </c>
      <c r="L148" s="44">
        <v>0</v>
      </c>
      <c r="M148" s="44">
        <v>0</v>
      </c>
      <c r="N148" s="44">
        <v>0</v>
      </c>
      <c r="O148" s="44">
        <v>0</v>
      </c>
      <c r="P148" s="44">
        <v>0</v>
      </c>
      <c r="Q148" s="44">
        <v>0</v>
      </c>
      <c r="R148" s="44">
        <v>0</v>
      </c>
      <c r="S148" s="44">
        <v>0</v>
      </c>
      <c r="T148" s="41">
        <v>1</v>
      </c>
    </row>
    <row r="149" spans="1:20" ht="15" customHeight="1" x14ac:dyDescent="0.4">
      <c r="A149" s="42" t="s">
        <v>310</v>
      </c>
      <c r="B149" s="41" t="s">
        <v>311</v>
      </c>
      <c r="C149" s="44">
        <v>0</v>
      </c>
      <c r="D149" s="44">
        <v>0</v>
      </c>
      <c r="E149" s="44">
        <v>0</v>
      </c>
      <c r="F149" s="44">
        <v>0</v>
      </c>
      <c r="G149" s="44">
        <v>0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0</v>
      </c>
      <c r="S149" s="44">
        <v>0</v>
      </c>
      <c r="T149" s="41">
        <v>1</v>
      </c>
    </row>
    <row r="150" spans="1:20" ht="15" customHeight="1" x14ac:dyDescent="0.4">
      <c r="A150" s="42" t="s">
        <v>312</v>
      </c>
      <c r="B150" s="41" t="s">
        <v>313</v>
      </c>
      <c r="C150" s="44">
        <v>0</v>
      </c>
      <c r="D150" s="44">
        <v>0</v>
      </c>
      <c r="E150" s="44">
        <v>0</v>
      </c>
      <c r="F150" s="44">
        <v>0</v>
      </c>
      <c r="G150" s="44">
        <v>0</v>
      </c>
      <c r="H150" s="44">
        <v>0</v>
      </c>
      <c r="I150" s="44">
        <v>0</v>
      </c>
      <c r="J150" s="44">
        <v>0</v>
      </c>
      <c r="K150" s="44">
        <v>0</v>
      </c>
      <c r="L150" s="44">
        <v>0</v>
      </c>
      <c r="M150" s="44">
        <v>0</v>
      </c>
      <c r="N150" s="44">
        <v>0</v>
      </c>
      <c r="O150" s="44">
        <v>0</v>
      </c>
      <c r="P150" s="44">
        <v>0</v>
      </c>
      <c r="Q150" s="44">
        <v>0</v>
      </c>
      <c r="R150" s="44">
        <v>0</v>
      </c>
      <c r="S150" s="44">
        <v>0</v>
      </c>
      <c r="T150" s="41">
        <v>1</v>
      </c>
    </row>
    <row r="151" spans="1:20" ht="15" customHeight="1" x14ac:dyDescent="0.4">
      <c r="A151" s="42" t="s">
        <v>314</v>
      </c>
      <c r="B151" s="41" t="s">
        <v>315</v>
      </c>
      <c r="C151" s="44">
        <v>0</v>
      </c>
      <c r="D151" s="44">
        <v>0</v>
      </c>
      <c r="E151" s="44">
        <v>0</v>
      </c>
      <c r="F151" s="44">
        <v>0</v>
      </c>
      <c r="G151" s="44">
        <v>0</v>
      </c>
      <c r="H151" s="44">
        <v>0</v>
      </c>
      <c r="I151" s="44">
        <v>0</v>
      </c>
      <c r="J151" s="44">
        <v>0</v>
      </c>
      <c r="K151" s="44">
        <v>0</v>
      </c>
      <c r="L151" s="44">
        <v>0</v>
      </c>
      <c r="M151" s="44">
        <v>0</v>
      </c>
      <c r="N151" s="44">
        <v>0</v>
      </c>
      <c r="O151" s="44">
        <v>0</v>
      </c>
      <c r="P151" s="44">
        <v>0</v>
      </c>
      <c r="Q151" s="44">
        <v>0</v>
      </c>
      <c r="R151" s="44">
        <v>0</v>
      </c>
      <c r="S151" s="44">
        <v>0</v>
      </c>
      <c r="T151" s="41">
        <v>1</v>
      </c>
    </row>
    <row r="152" spans="1:20" ht="15" customHeight="1" x14ac:dyDescent="0.4">
      <c r="A152" s="42" t="s">
        <v>316</v>
      </c>
      <c r="B152" s="41" t="s">
        <v>317</v>
      </c>
      <c r="C152" s="44">
        <v>0</v>
      </c>
      <c r="D152" s="44">
        <v>0</v>
      </c>
      <c r="E152" s="44">
        <v>0</v>
      </c>
      <c r="F152" s="44">
        <v>0</v>
      </c>
      <c r="G152" s="44">
        <v>0</v>
      </c>
      <c r="H152" s="44">
        <v>0</v>
      </c>
      <c r="I152" s="44">
        <v>0</v>
      </c>
      <c r="J152" s="44">
        <v>0</v>
      </c>
      <c r="K152" s="44">
        <v>0</v>
      </c>
      <c r="L152" s="44">
        <v>0</v>
      </c>
      <c r="M152" s="44">
        <v>0</v>
      </c>
      <c r="N152" s="44">
        <v>0</v>
      </c>
      <c r="O152" s="44">
        <v>0</v>
      </c>
      <c r="P152" s="44">
        <v>0</v>
      </c>
      <c r="Q152" s="44">
        <v>0</v>
      </c>
      <c r="R152" s="44">
        <v>0</v>
      </c>
      <c r="S152" s="44">
        <v>0</v>
      </c>
      <c r="T152" s="41">
        <v>1</v>
      </c>
    </row>
    <row r="153" spans="1:20" ht="15" customHeight="1" x14ac:dyDescent="0.4">
      <c r="A153" s="42" t="s">
        <v>318</v>
      </c>
      <c r="B153" s="41" t="s">
        <v>319</v>
      </c>
      <c r="C153" s="44">
        <v>0</v>
      </c>
      <c r="D153" s="44">
        <v>0</v>
      </c>
      <c r="E153" s="44">
        <v>0</v>
      </c>
      <c r="F153" s="44">
        <v>0</v>
      </c>
      <c r="G153" s="44">
        <v>0</v>
      </c>
      <c r="H153" s="44">
        <v>0</v>
      </c>
      <c r="I153" s="44">
        <v>0</v>
      </c>
      <c r="J153" s="44">
        <v>0</v>
      </c>
      <c r="K153" s="44">
        <v>0</v>
      </c>
      <c r="L153" s="44">
        <v>0</v>
      </c>
      <c r="M153" s="44">
        <v>0</v>
      </c>
      <c r="N153" s="44">
        <v>0</v>
      </c>
      <c r="O153" s="44">
        <v>0</v>
      </c>
      <c r="P153" s="44">
        <v>0</v>
      </c>
      <c r="Q153" s="44">
        <v>0</v>
      </c>
      <c r="R153" s="44">
        <v>0</v>
      </c>
      <c r="S153" s="44">
        <v>0</v>
      </c>
      <c r="T153" s="41">
        <v>1</v>
      </c>
    </row>
    <row r="154" spans="1:20" ht="15" customHeight="1" x14ac:dyDescent="0.4">
      <c r="A154" s="42" t="s">
        <v>320</v>
      </c>
      <c r="B154" s="41" t="s">
        <v>321</v>
      </c>
      <c r="C154" s="44">
        <v>0</v>
      </c>
      <c r="D154" s="44">
        <v>0</v>
      </c>
      <c r="E154" s="44">
        <v>0</v>
      </c>
      <c r="F154" s="44">
        <v>0</v>
      </c>
      <c r="G154" s="44">
        <v>0</v>
      </c>
      <c r="H154" s="44">
        <v>0</v>
      </c>
      <c r="I154" s="44">
        <v>0</v>
      </c>
      <c r="J154" s="44">
        <v>0</v>
      </c>
      <c r="K154" s="44">
        <v>0</v>
      </c>
      <c r="L154" s="44">
        <v>0</v>
      </c>
      <c r="M154" s="44">
        <v>0</v>
      </c>
      <c r="N154" s="44">
        <v>0</v>
      </c>
      <c r="O154" s="44">
        <v>0</v>
      </c>
      <c r="P154" s="44">
        <v>0</v>
      </c>
      <c r="Q154" s="44">
        <v>0</v>
      </c>
      <c r="R154" s="44">
        <v>0</v>
      </c>
      <c r="S154" s="44">
        <v>0</v>
      </c>
      <c r="T154" s="41">
        <v>1</v>
      </c>
    </row>
    <row r="155" spans="1:20" ht="15" customHeight="1" x14ac:dyDescent="0.4">
      <c r="A155" s="42" t="s">
        <v>322</v>
      </c>
      <c r="B155" s="41" t="s">
        <v>323</v>
      </c>
      <c r="C155" s="44">
        <v>0</v>
      </c>
      <c r="D155" s="44">
        <v>0</v>
      </c>
      <c r="E155" s="44">
        <v>0</v>
      </c>
      <c r="F155" s="44">
        <v>0</v>
      </c>
      <c r="G155" s="44">
        <v>0</v>
      </c>
      <c r="H155" s="44">
        <v>0</v>
      </c>
      <c r="I155" s="44">
        <v>0</v>
      </c>
      <c r="J155" s="44">
        <v>0</v>
      </c>
      <c r="K155" s="44">
        <v>0</v>
      </c>
      <c r="L155" s="44">
        <v>0</v>
      </c>
      <c r="M155" s="44">
        <v>0</v>
      </c>
      <c r="N155" s="44">
        <v>0</v>
      </c>
      <c r="O155" s="44">
        <v>0</v>
      </c>
      <c r="P155" s="44">
        <v>0</v>
      </c>
      <c r="Q155" s="44">
        <v>0</v>
      </c>
      <c r="R155" s="44">
        <v>0</v>
      </c>
      <c r="S155" s="44">
        <v>0</v>
      </c>
      <c r="T155" s="41">
        <v>1</v>
      </c>
    </row>
    <row r="156" spans="1:20" ht="15" customHeight="1" x14ac:dyDescent="0.4">
      <c r="A156" s="42" t="s">
        <v>324</v>
      </c>
      <c r="B156" s="41" t="s">
        <v>325</v>
      </c>
      <c r="C156" s="44">
        <v>0</v>
      </c>
      <c r="D156" s="44">
        <v>0</v>
      </c>
      <c r="E156" s="44">
        <v>0</v>
      </c>
      <c r="F156" s="44">
        <v>0</v>
      </c>
      <c r="G156" s="44">
        <v>0</v>
      </c>
      <c r="H156" s="44">
        <v>0</v>
      </c>
      <c r="I156" s="44">
        <v>0</v>
      </c>
      <c r="J156" s="44">
        <v>0</v>
      </c>
      <c r="K156" s="44">
        <v>0</v>
      </c>
      <c r="L156" s="44">
        <v>0</v>
      </c>
      <c r="M156" s="44">
        <v>0</v>
      </c>
      <c r="N156" s="44">
        <v>0</v>
      </c>
      <c r="O156" s="44">
        <v>0</v>
      </c>
      <c r="P156" s="44">
        <v>0</v>
      </c>
      <c r="Q156" s="44">
        <v>0</v>
      </c>
      <c r="R156" s="44">
        <v>0</v>
      </c>
      <c r="S156" s="44">
        <v>0</v>
      </c>
      <c r="T156" s="41">
        <v>1</v>
      </c>
    </row>
    <row r="157" spans="1:20" ht="15" customHeight="1" x14ac:dyDescent="0.4">
      <c r="A157" s="42" t="s">
        <v>326</v>
      </c>
      <c r="B157" s="41" t="s">
        <v>327</v>
      </c>
      <c r="C157" s="43">
        <v>-279196975</v>
      </c>
      <c r="D157" s="43">
        <v>131138001</v>
      </c>
      <c r="E157" s="43">
        <v>143083050</v>
      </c>
      <c r="F157" s="44">
        <v>0</v>
      </c>
      <c r="G157" s="44">
        <v>0</v>
      </c>
      <c r="H157" s="43">
        <v>3092234469</v>
      </c>
      <c r="I157" s="44">
        <v>0</v>
      </c>
      <c r="J157" s="44">
        <v>0</v>
      </c>
      <c r="K157" s="44">
        <v>0</v>
      </c>
      <c r="L157" s="44">
        <v>0</v>
      </c>
      <c r="M157" s="44">
        <v>0</v>
      </c>
      <c r="N157" s="44">
        <v>0</v>
      </c>
      <c r="O157" s="44">
        <v>0</v>
      </c>
      <c r="P157" s="44">
        <v>0</v>
      </c>
      <c r="Q157" s="44">
        <v>0</v>
      </c>
      <c r="R157" s="43">
        <v>3235317519</v>
      </c>
      <c r="S157" s="43">
        <v>3092234469</v>
      </c>
      <c r="T157" s="41">
        <v>1</v>
      </c>
    </row>
    <row r="158" spans="1:20" ht="15" customHeight="1" x14ac:dyDescent="0.4">
      <c r="A158" s="42" t="s">
        <v>328</v>
      </c>
      <c r="B158" s="41" t="s">
        <v>329</v>
      </c>
      <c r="C158" s="44">
        <v>0</v>
      </c>
      <c r="D158" s="44">
        <v>0</v>
      </c>
      <c r="E158" s="44">
        <v>0</v>
      </c>
      <c r="F158" s="44">
        <v>0</v>
      </c>
      <c r="G158" s="44">
        <v>0</v>
      </c>
      <c r="H158" s="44">
        <v>0</v>
      </c>
      <c r="I158" s="44">
        <v>0</v>
      </c>
      <c r="J158" s="44">
        <v>0</v>
      </c>
      <c r="K158" s="44">
        <v>0</v>
      </c>
      <c r="L158" s="44">
        <v>0</v>
      </c>
      <c r="M158" s="44">
        <v>0</v>
      </c>
      <c r="N158" s="44">
        <v>0</v>
      </c>
      <c r="O158" s="44">
        <v>0</v>
      </c>
      <c r="P158" s="44">
        <v>0</v>
      </c>
      <c r="Q158" s="44">
        <v>0</v>
      </c>
      <c r="R158" s="44">
        <v>0</v>
      </c>
      <c r="S158" s="44">
        <v>0</v>
      </c>
      <c r="T158" s="41">
        <v>1</v>
      </c>
    </row>
    <row r="159" spans="1:20" ht="15" customHeight="1" x14ac:dyDescent="0.4">
      <c r="A159" s="42" t="s">
        <v>330</v>
      </c>
      <c r="B159" s="41" t="s">
        <v>331</v>
      </c>
      <c r="C159" s="44">
        <v>0</v>
      </c>
      <c r="D159" s="44">
        <v>0</v>
      </c>
      <c r="E159" s="44">
        <v>0</v>
      </c>
      <c r="F159" s="44">
        <v>0</v>
      </c>
      <c r="G159" s="44">
        <v>0</v>
      </c>
      <c r="H159" s="44">
        <v>0</v>
      </c>
      <c r="I159" s="44">
        <v>0</v>
      </c>
      <c r="J159" s="44">
        <v>0</v>
      </c>
      <c r="K159" s="44">
        <v>0</v>
      </c>
      <c r="L159" s="44">
        <v>0</v>
      </c>
      <c r="M159" s="44">
        <v>0</v>
      </c>
      <c r="N159" s="44">
        <v>0</v>
      </c>
      <c r="O159" s="44">
        <v>0</v>
      </c>
      <c r="P159" s="44">
        <v>0</v>
      </c>
      <c r="Q159" s="44">
        <v>0</v>
      </c>
      <c r="R159" s="44">
        <v>0</v>
      </c>
      <c r="S159" s="44">
        <v>0</v>
      </c>
      <c r="T159" s="41">
        <v>1</v>
      </c>
    </row>
    <row r="160" spans="1:20" ht="15" customHeight="1" x14ac:dyDescent="0.4">
      <c r="A160" s="42" t="s">
        <v>332</v>
      </c>
      <c r="B160" s="41" t="s">
        <v>333</v>
      </c>
      <c r="C160" s="44">
        <v>0</v>
      </c>
      <c r="D160" s="44">
        <v>0</v>
      </c>
      <c r="E160" s="44">
        <v>0</v>
      </c>
      <c r="F160" s="44">
        <v>0</v>
      </c>
      <c r="G160" s="44">
        <v>0</v>
      </c>
      <c r="H160" s="44">
        <v>0</v>
      </c>
      <c r="I160" s="44">
        <v>0</v>
      </c>
      <c r="J160" s="44">
        <v>0</v>
      </c>
      <c r="K160" s="44">
        <v>0</v>
      </c>
      <c r="L160" s="44">
        <v>0</v>
      </c>
      <c r="M160" s="44">
        <v>0</v>
      </c>
      <c r="N160" s="44">
        <v>0</v>
      </c>
      <c r="O160" s="44">
        <v>0</v>
      </c>
      <c r="P160" s="44">
        <v>0</v>
      </c>
      <c r="Q160" s="44">
        <v>0</v>
      </c>
      <c r="R160" s="44">
        <v>0</v>
      </c>
      <c r="S160" s="44">
        <v>0</v>
      </c>
      <c r="T160" s="41">
        <v>1</v>
      </c>
    </row>
    <row r="161" spans="1:20" ht="15" customHeight="1" x14ac:dyDescent="0.4">
      <c r="A161" s="37" t="s">
        <v>334</v>
      </c>
      <c r="B161" s="38" t="s">
        <v>335</v>
      </c>
      <c r="C161" s="39">
        <v>-1719203138.27</v>
      </c>
      <c r="D161" s="39">
        <v>-7244803112.1199999</v>
      </c>
      <c r="E161" s="39">
        <v>-5419008729.6000004</v>
      </c>
      <c r="F161" s="39">
        <v>-651995198.39999998</v>
      </c>
      <c r="G161" s="39">
        <v>288093047.44999999</v>
      </c>
      <c r="H161" s="39">
        <v>-591105594.30999994</v>
      </c>
      <c r="I161" s="40">
        <v>0</v>
      </c>
      <c r="J161" s="40">
        <v>0</v>
      </c>
      <c r="K161" s="40">
        <v>0</v>
      </c>
      <c r="L161" s="40">
        <v>0</v>
      </c>
      <c r="M161" s="40">
        <v>0</v>
      </c>
      <c r="N161" s="40">
        <v>0</v>
      </c>
      <c r="O161" s="40">
        <v>0</v>
      </c>
      <c r="P161" s="40">
        <v>0</v>
      </c>
      <c r="Q161" s="40">
        <v>0</v>
      </c>
      <c r="R161" s="39">
        <v>-6374016474.8599997</v>
      </c>
      <c r="S161" s="39">
        <v>-955007745.25999999</v>
      </c>
      <c r="T161" s="41">
        <v>2</v>
      </c>
    </row>
    <row r="162" spans="1:20" ht="15" customHeight="1" x14ac:dyDescent="0.4">
      <c r="A162" s="37" t="s">
        <v>336</v>
      </c>
      <c r="B162" s="38" t="s">
        <v>337</v>
      </c>
      <c r="C162" s="40">
        <v>0</v>
      </c>
      <c r="D162" s="39">
        <v>1612584500</v>
      </c>
      <c r="E162" s="39">
        <v>1612584500</v>
      </c>
      <c r="F162" s="40">
        <v>0</v>
      </c>
      <c r="G162" s="40">
        <v>0</v>
      </c>
      <c r="H162" s="40">
        <v>0</v>
      </c>
      <c r="I162" s="40">
        <v>0</v>
      </c>
      <c r="J162" s="40">
        <v>0</v>
      </c>
      <c r="K162" s="40">
        <v>0</v>
      </c>
      <c r="L162" s="40">
        <v>0</v>
      </c>
      <c r="M162" s="40">
        <v>0</v>
      </c>
      <c r="N162" s="40">
        <v>0</v>
      </c>
      <c r="O162" s="40">
        <v>0</v>
      </c>
      <c r="P162" s="40">
        <v>0</v>
      </c>
      <c r="Q162" s="40">
        <v>0</v>
      </c>
      <c r="R162" s="39">
        <v>1612584500</v>
      </c>
      <c r="S162" s="40">
        <v>0</v>
      </c>
      <c r="T162" s="41">
        <v>2</v>
      </c>
    </row>
    <row r="163" spans="1:20" ht="15" customHeight="1" x14ac:dyDescent="0.4">
      <c r="A163" s="42" t="s">
        <v>338</v>
      </c>
      <c r="B163" s="41" t="s">
        <v>339</v>
      </c>
      <c r="C163" s="44">
        <v>0</v>
      </c>
      <c r="D163" s="43">
        <v>1612584500</v>
      </c>
      <c r="E163" s="43">
        <v>1612584500</v>
      </c>
      <c r="F163" s="44">
        <v>0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0</v>
      </c>
      <c r="O163" s="44">
        <v>0</v>
      </c>
      <c r="P163" s="44">
        <v>0</v>
      </c>
      <c r="Q163" s="44">
        <v>0</v>
      </c>
      <c r="R163" s="43">
        <v>1612584500</v>
      </c>
      <c r="S163" s="44">
        <v>0</v>
      </c>
      <c r="T163" s="41">
        <v>1</v>
      </c>
    </row>
    <row r="164" spans="1:20" ht="15" customHeight="1" x14ac:dyDescent="0.4">
      <c r="A164" s="42" t="s">
        <v>340</v>
      </c>
      <c r="B164" s="41" t="s">
        <v>341</v>
      </c>
      <c r="C164" s="44">
        <v>0</v>
      </c>
      <c r="D164" s="44">
        <v>0</v>
      </c>
      <c r="E164" s="44">
        <v>0</v>
      </c>
      <c r="F164" s="44">
        <v>0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0</v>
      </c>
      <c r="S164" s="44">
        <v>0</v>
      </c>
      <c r="T164" s="41">
        <v>1</v>
      </c>
    </row>
    <row r="165" spans="1:20" ht="15" customHeight="1" x14ac:dyDescent="0.4">
      <c r="A165" s="37" t="s">
        <v>342</v>
      </c>
      <c r="B165" s="38" t="s">
        <v>343</v>
      </c>
      <c r="C165" s="40">
        <v>0</v>
      </c>
      <c r="D165" s="40">
        <v>0</v>
      </c>
      <c r="E165" s="40">
        <v>0</v>
      </c>
      <c r="F165" s="40">
        <v>0</v>
      </c>
      <c r="G165" s="40">
        <v>0</v>
      </c>
      <c r="H165" s="40">
        <v>0</v>
      </c>
      <c r="I165" s="40">
        <v>0</v>
      </c>
      <c r="J165" s="40">
        <v>0</v>
      </c>
      <c r="K165" s="40">
        <v>0</v>
      </c>
      <c r="L165" s="40">
        <v>0</v>
      </c>
      <c r="M165" s="40">
        <v>0</v>
      </c>
      <c r="N165" s="40">
        <v>0</v>
      </c>
      <c r="O165" s="40">
        <v>0</v>
      </c>
      <c r="P165" s="40">
        <v>0</v>
      </c>
      <c r="Q165" s="40">
        <v>0</v>
      </c>
      <c r="R165" s="40">
        <v>0</v>
      </c>
      <c r="S165" s="40">
        <v>0</v>
      </c>
      <c r="T165" s="41">
        <v>2</v>
      </c>
    </row>
    <row r="166" spans="1:20" ht="15" customHeight="1" x14ac:dyDescent="0.4">
      <c r="A166" s="42" t="s">
        <v>344</v>
      </c>
      <c r="B166" s="41" t="s">
        <v>345</v>
      </c>
      <c r="C166" s="44">
        <v>0</v>
      </c>
      <c r="D166" s="44">
        <v>0</v>
      </c>
      <c r="E166" s="44">
        <v>0</v>
      </c>
      <c r="F166" s="44">
        <v>0</v>
      </c>
      <c r="G166" s="44">
        <v>0</v>
      </c>
      <c r="H166" s="44">
        <v>0</v>
      </c>
      <c r="I166" s="44">
        <v>0</v>
      </c>
      <c r="J166" s="44">
        <v>0</v>
      </c>
      <c r="K166" s="44">
        <v>0</v>
      </c>
      <c r="L166" s="44">
        <v>0</v>
      </c>
      <c r="M166" s="44">
        <v>0</v>
      </c>
      <c r="N166" s="44">
        <v>0</v>
      </c>
      <c r="O166" s="44">
        <v>0</v>
      </c>
      <c r="P166" s="44">
        <v>0</v>
      </c>
      <c r="Q166" s="44">
        <v>0</v>
      </c>
      <c r="R166" s="44">
        <v>0</v>
      </c>
      <c r="S166" s="44">
        <v>0</v>
      </c>
      <c r="T166" s="41">
        <v>1</v>
      </c>
    </row>
    <row r="167" spans="1:20" ht="15" customHeight="1" x14ac:dyDescent="0.4">
      <c r="A167" s="42" t="s">
        <v>346</v>
      </c>
      <c r="B167" s="41" t="s">
        <v>347</v>
      </c>
      <c r="C167" s="44">
        <v>0</v>
      </c>
      <c r="D167" s="44">
        <v>0</v>
      </c>
      <c r="E167" s="44">
        <v>0</v>
      </c>
      <c r="F167" s="44">
        <v>0</v>
      </c>
      <c r="G167" s="44">
        <v>0</v>
      </c>
      <c r="H167" s="44">
        <v>0</v>
      </c>
      <c r="I167" s="44">
        <v>0</v>
      </c>
      <c r="J167" s="44">
        <v>0</v>
      </c>
      <c r="K167" s="44">
        <v>0</v>
      </c>
      <c r="L167" s="44">
        <v>0</v>
      </c>
      <c r="M167" s="44">
        <v>0</v>
      </c>
      <c r="N167" s="44">
        <v>0</v>
      </c>
      <c r="O167" s="44">
        <v>0</v>
      </c>
      <c r="P167" s="44">
        <v>0</v>
      </c>
      <c r="Q167" s="44">
        <v>0</v>
      </c>
      <c r="R167" s="44">
        <v>0</v>
      </c>
      <c r="S167" s="44">
        <v>0</v>
      </c>
      <c r="T167" s="41">
        <v>1</v>
      </c>
    </row>
    <row r="168" spans="1:20" ht="15" customHeight="1" x14ac:dyDescent="0.4">
      <c r="A168" s="42" t="s">
        <v>348</v>
      </c>
      <c r="B168" s="41" t="s">
        <v>349</v>
      </c>
      <c r="C168" s="44">
        <v>0</v>
      </c>
      <c r="D168" s="44">
        <v>0</v>
      </c>
      <c r="E168" s="44">
        <v>0</v>
      </c>
      <c r="F168" s="44">
        <v>0</v>
      </c>
      <c r="G168" s="44">
        <v>0</v>
      </c>
      <c r="H168" s="44">
        <v>0</v>
      </c>
      <c r="I168" s="44">
        <v>0</v>
      </c>
      <c r="J168" s="44">
        <v>0</v>
      </c>
      <c r="K168" s="44">
        <v>0</v>
      </c>
      <c r="L168" s="44">
        <v>0</v>
      </c>
      <c r="M168" s="44">
        <v>0</v>
      </c>
      <c r="N168" s="44">
        <v>0</v>
      </c>
      <c r="O168" s="44">
        <v>0</v>
      </c>
      <c r="P168" s="44">
        <v>0</v>
      </c>
      <c r="Q168" s="44">
        <v>0</v>
      </c>
      <c r="R168" s="44">
        <v>0</v>
      </c>
      <c r="S168" s="44">
        <v>0</v>
      </c>
      <c r="T168" s="41">
        <v>1</v>
      </c>
    </row>
    <row r="169" spans="1:20" ht="15" customHeight="1" x14ac:dyDescent="0.4">
      <c r="A169" s="42" t="s">
        <v>350</v>
      </c>
      <c r="B169" s="41" t="s">
        <v>351</v>
      </c>
      <c r="C169" s="44">
        <v>0</v>
      </c>
      <c r="D169" s="44">
        <v>0</v>
      </c>
      <c r="E169" s="44">
        <v>0</v>
      </c>
      <c r="F169" s="44">
        <v>0</v>
      </c>
      <c r="G169" s="44">
        <v>0</v>
      </c>
      <c r="H169" s="44">
        <v>0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0</v>
      </c>
      <c r="P169" s="44">
        <v>0</v>
      </c>
      <c r="Q169" s="44">
        <v>0</v>
      </c>
      <c r="R169" s="44">
        <v>0</v>
      </c>
      <c r="S169" s="44">
        <v>0</v>
      </c>
      <c r="T169" s="41">
        <v>1</v>
      </c>
    </row>
    <row r="170" spans="1:20" ht="15" customHeight="1" x14ac:dyDescent="0.4">
      <c r="A170" s="42" t="s">
        <v>352</v>
      </c>
      <c r="B170" s="41" t="s">
        <v>353</v>
      </c>
      <c r="C170" s="44">
        <v>0</v>
      </c>
      <c r="D170" s="44">
        <v>0</v>
      </c>
      <c r="E170" s="44">
        <v>0</v>
      </c>
      <c r="F170" s="44">
        <v>0</v>
      </c>
      <c r="G170" s="44">
        <v>0</v>
      </c>
      <c r="H170" s="44">
        <v>0</v>
      </c>
      <c r="I170" s="44">
        <v>0</v>
      </c>
      <c r="J170" s="44">
        <v>0</v>
      </c>
      <c r="K170" s="44">
        <v>0</v>
      </c>
      <c r="L170" s="44">
        <v>0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0</v>
      </c>
      <c r="S170" s="44">
        <v>0</v>
      </c>
      <c r="T170" s="41">
        <v>1</v>
      </c>
    </row>
    <row r="171" spans="1:20" ht="15" customHeight="1" x14ac:dyDescent="0.4">
      <c r="A171" s="42" t="s">
        <v>354</v>
      </c>
      <c r="B171" s="41" t="s">
        <v>355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0</v>
      </c>
      <c r="S171" s="44">
        <v>0</v>
      </c>
      <c r="T171" s="41">
        <v>1</v>
      </c>
    </row>
    <row r="172" spans="1:20" ht="15" customHeight="1" x14ac:dyDescent="0.4">
      <c r="A172" s="42" t="s">
        <v>356</v>
      </c>
      <c r="B172" s="41" t="s">
        <v>745</v>
      </c>
      <c r="C172" s="44">
        <v>0</v>
      </c>
      <c r="D172" s="44">
        <v>0</v>
      </c>
      <c r="E172" s="44">
        <v>0</v>
      </c>
      <c r="F172" s="44">
        <v>0</v>
      </c>
      <c r="G172" s="44">
        <v>0</v>
      </c>
      <c r="H172" s="44">
        <v>0</v>
      </c>
      <c r="I172" s="44">
        <v>0</v>
      </c>
      <c r="J172" s="44">
        <v>0</v>
      </c>
      <c r="K172" s="44">
        <v>0</v>
      </c>
      <c r="L172" s="44">
        <v>0</v>
      </c>
      <c r="M172" s="44">
        <v>0</v>
      </c>
      <c r="N172" s="44">
        <v>0</v>
      </c>
      <c r="O172" s="44">
        <v>0</v>
      </c>
      <c r="P172" s="44">
        <v>0</v>
      </c>
      <c r="Q172" s="44">
        <v>0</v>
      </c>
      <c r="R172" s="44">
        <v>0</v>
      </c>
      <c r="S172" s="44">
        <v>0</v>
      </c>
      <c r="T172" s="41">
        <v>1</v>
      </c>
    </row>
    <row r="173" spans="1:20" ht="15" customHeight="1" x14ac:dyDescent="0.4">
      <c r="A173" s="37" t="s">
        <v>358</v>
      </c>
      <c r="B173" s="38" t="s">
        <v>359</v>
      </c>
      <c r="C173" s="40">
        <v>0</v>
      </c>
      <c r="D173" s="39">
        <v>1361356.62</v>
      </c>
      <c r="E173" s="39">
        <v>1361356.62</v>
      </c>
      <c r="F173" s="40">
        <v>0</v>
      </c>
      <c r="G173" s="40">
        <v>0</v>
      </c>
      <c r="H173" s="40">
        <v>0</v>
      </c>
      <c r="I173" s="40">
        <v>0</v>
      </c>
      <c r="J173" s="40">
        <v>0</v>
      </c>
      <c r="K173" s="40">
        <v>0</v>
      </c>
      <c r="L173" s="40">
        <v>0</v>
      </c>
      <c r="M173" s="40">
        <v>0</v>
      </c>
      <c r="N173" s="40">
        <v>0</v>
      </c>
      <c r="O173" s="40">
        <v>0</v>
      </c>
      <c r="P173" s="40">
        <v>0</v>
      </c>
      <c r="Q173" s="40">
        <v>0</v>
      </c>
      <c r="R173" s="39">
        <v>1361356.62</v>
      </c>
      <c r="S173" s="40">
        <v>0</v>
      </c>
      <c r="T173" s="41">
        <v>2</v>
      </c>
    </row>
    <row r="174" spans="1:20" ht="15" customHeight="1" x14ac:dyDescent="0.4">
      <c r="A174" s="42" t="s">
        <v>360</v>
      </c>
      <c r="B174" s="41" t="s">
        <v>361</v>
      </c>
      <c r="C174" s="44">
        <v>0</v>
      </c>
      <c r="D174" s="44">
        <v>0</v>
      </c>
      <c r="E174" s="44">
        <v>0</v>
      </c>
      <c r="F174" s="44">
        <v>0</v>
      </c>
      <c r="G174" s="44">
        <v>0</v>
      </c>
      <c r="H174" s="44">
        <v>0</v>
      </c>
      <c r="I174" s="44">
        <v>0</v>
      </c>
      <c r="J174" s="44">
        <v>0</v>
      </c>
      <c r="K174" s="44">
        <v>0</v>
      </c>
      <c r="L174" s="44">
        <v>0</v>
      </c>
      <c r="M174" s="44">
        <v>0</v>
      </c>
      <c r="N174" s="44">
        <v>0</v>
      </c>
      <c r="O174" s="44">
        <v>0</v>
      </c>
      <c r="P174" s="44">
        <v>0</v>
      </c>
      <c r="Q174" s="44">
        <v>0</v>
      </c>
      <c r="R174" s="44">
        <v>0</v>
      </c>
      <c r="S174" s="44">
        <v>0</v>
      </c>
      <c r="T174" s="41">
        <v>1</v>
      </c>
    </row>
    <row r="175" spans="1:20" ht="15" customHeight="1" x14ac:dyDescent="0.4">
      <c r="A175" s="42" t="s">
        <v>362</v>
      </c>
      <c r="B175" s="41" t="s">
        <v>363</v>
      </c>
      <c r="C175" s="44">
        <v>0</v>
      </c>
      <c r="D175" s="44">
        <v>0</v>
      </c>
      <c r="E175" s="44">
        <v>0</v>
      </c>
      <c r="F175" s="44">
        <v>0</v>
      </c>
      <c r="G175" s="44">
        <v>0</v>
      </c>
      <c r="H175" s="44">
        <v>0</v>
      </c>
      <c r="I175" s="44">
        <v>0</v>
      </c>
      <c r="J175" s="44">
        <v>0</v>
      </c>
      <c r="K175" s="44">
        <v>0</v>
      </c>
      <c r="L175" s="44">
        <v>0</v>
      </c>
      <c r="M175" s="44">
        <v>0</v>
      </c>
      <c r="N175" s="44">
        <v>0</v>
      </c>
      <c r="O175" s="44">
        <v>0</v>
      </c>
      <c r="P175" s="44">
        <v>0</v>
      </c>
      <c r="Q175" s="44">
        <v>0</v>
      </c>
      <c r="R175" s="44">
        <v>0</v>
      </c>
      <c r="S175" s="44">
        <v>0</v>
      </c>
      <c r="T175" s="41">
        <v>1</v>
      </c>
    </row>
    <row r="176" spans="1:20" ht="15" customHeight="1" x14ac:dyDescent="0.4">
      <c r="A176" s="42" t="s">
        <v>364</v>
      </c>
      <c r="B176" s="41" t="s">
        <v>365</v>
      </c>
      <c r="C176" s="44">
        <v>0</v>
      </c>
      <c r="D176" s="44">
        <v>0</v>
      </c>
      <c r="E176" s="44">
        <v>0</v>
      </c>
      <c r="F176" s="44">
        <v>0</v>
      </c>
      <c r="G176" s="44">
        <v>0</v>
      </c>
      <c r="H176" s="44">
        <v>0</v>
      </c>
      <c r="I176" s="44">
        <v>0</v>
      </c>
      <c r="J176" s="44">
        <v>0</v>
      </c>
      <c r="K176" s="44">
        <v>0</v>
      </c>
      <c r="L176" s="44">
        <v>0</v>
      </c>
      <c r="M176" s="44">
        <v>0</v>
      </c>
      <c r="N176" s="44">
        <v>0</v>
      </c>
      <c r="O176" s="44">
        <v>0</v>
      </c>
      <c r="P176" s="44">
        <v>0</v>
      </c>
      <c r="Q176" s="44">
        <v>0</v>
      </c>
      <c r="R176" s="44">
        <v>0</v>
      </c>
      <c r="S176" s="44">
        <v>0</v>
      </c>
      <c r="T176" s="41">
        <v>1</v>
      </c>
    </row>
    <row r="177" spans="1:20" ht="15" customHeight="1" x14ac:dyDescent="0.4">
      <c r="A177" s="42" t="s">
        <v>366</v>
      </c>
      <c r="B177" s="41" t="s">
        <v>367</v>
      </c>
      <c r="C177" s="44">
        <v>0</v>
      </c>
      <c r="D177" s="44">
        <v>0</v>
      </c>
      <c r="E177" s="44">
        <v>0</v>
      </c>
      <c r="F177" s="44">
        <v>0</v>
      </c>
      <c r="G177" s="44">
        <v>0</v>
      </c>
      <c r="H177" s="44">
        <v>0</v>
      </c>
      <c r="I177" s="44">
        <v>0</v>
      </c>
      <c r="J177" s="44">
        <v>0</v>
      </c>
      <c r="K177" s="44">
        <v>0</v>
      </c>
      <c r="L177" s="44">
        <v>0</v>
      </c>
      <c r="M177" s="44">
        <v>0</v>
      </c>
      <c r="N177" s="44">
        <v>0</v>
      </c>
      <c r="O177" s="44">
        <v>0</v>
      </c>
      <c r="P177" s="44">
        <v>0</v>
      </c>
      <c r="Q177" s="44">
        <v>0</v>
      </c>
      <c r="R177" s="44">
        <v>0</v>
      </c>
      <c r="S177" s="44">
        <v>0</v>
      </c>
      <c r="T177" s="41">
        <v>1</v>
      </c>
    </row>
    <row r="178" spans="1:20" ht="15" customHeight="1" x14ac:dyDescent="0.4">
      <c r="A178" s="42" t="s">
        <v>368</v>
      </c>
      <c r="B178" s="41" t="s">
        <v>369</v>
      </c>
      <c r="C178" s="44">
        <v>0</v>
      </c>
      <c r="D178" s="44">
        <v>0</v>
      </c>
      <c r="E178" s="44">
        <v>0</v>
      </c>
      <c r="F178" s="44">
        <v>0</v>
      </c>
      <c r="G178" s="44">
        <v>0</v>
      </c>
      <c r="H178" s="44">
        <v>0</v>
      </c>
      <c r="I178" s="44">
        <v>0</v>
      </c>
      <c r="J178" s="44">
        <v>0</v>
      </c>
      <c r="K178" s="44">
        <v>0</v>
      </c>
      <c r="L178" s="44">
        <v>0</v>
      </c>
      <c r="M178" s="44">
        <v>0</v>
      </c>
      <c r="N178" s="44">
        <v>0</v>
      </c>
      <c r="O178" s="44">
        <v>0</v>
      </c>
      <c r="P178" s="44">
        <v>0</v>
      </c>
      <c r="Q178" s="44">
        <v>0</v>
      </c>
      <c r="R178" s="44">
        <v>0</v>
      </c>
      <c r="S178" s="44">
        <v>0</v>
      </c>
      <c r="T178" s="41">
        <v>1</v>
      </c>
    </row>
    <row r="179" spans="1:20" ht="15" customHeight="1" x14ac:dyDescent="0.4">
      <c r="A179" s="42" t="s">
        <v>370</v>
      </c>
      <c r="B179" s="41" t="s">
        <v>371</v>
      </c>
      <c r="C179" s="44">
        <v>0</v>
      </c>
      <c r="D179" s="44">
        <v>0</v>
      </c>
      <c r="E179" s="44">
        <v>0</v>
      </c>
      <c r="F179" s="44">
        <v>0</v>
      </c>
      <c r="G179" s="44">
        <v>0</v>
      </c>
      <c r="H179" s="44">
        <v>0</v>
      </c>
      <c r="I179" s="44">
        <v>0</v>
      </c>
      <c r="J179" s="44">
        <v>0</v>
      </c>
      <c r="K179" s="44">
        <v>0</v>
      </c>
      <c r="L179" s="44">
        <v>0</v>
      </c>
      <c r="M179" s="44">
        <v>0</v>
      </c>
      <c r="N179" s="44">
        <v>0</v>
      </c>
      <c r="O179" s="44">
        <v>0</v>
      </c>
      <c r="P179" s="44">
        <v>0</v>
      </c>
      <c r="Q179" s="44">
        <v>0</v>
      </c>
      <c r="R179" s="44">
        <v>0</v>
      </c>
      <c r="S179" s="44">
        <v>0</v>
      </c>
      <c r="T179" s="41">
        <v>1</v>
      </c>
    </row>
    <row r="180" spans="1:20" ht="15" customHeight="1" x14ac:dyDescent="0.4">
      <c r="A180" s="42" t="s">
        <v>372</v>
      </c>
      <c r="B180" s="41" t="s">
        <v>373</v>
      </c>
      <c r="C180" s="44">
        <v>0</v>
      </c>
      <c r="D180" s="43">
        <v>1361356.62</v>
      </c>
      <c r="E180" s="43">
        <v>1361356.62</v>
      </c>
      <c r="F180" s="44">
        <v>0</v>
      </c>
      <c r="G180" s="44">
        <v>0</v>
      </c>
      <c r="H180" s="44">
        <v>0</v>
      </c>
      <c r="I180" s="44">
        <v>0</v>
      </c>
      <c r="J180" s="44">
        <v>0</v>
      </c>
      <c r="K180" s="44">
        <v>0</v>
      </c>
      <c r="L180" s="44">
        <v>0</v>
      </c>
      <c r="M180" s="44">
        <v>0</v>
      </c>
      <c r="N180" s="44">
        <v>0</v>
      </c>
      <c r="O180" s="44">
        <v>0</v>
      </c>
      <c r="P180" s="44">
        <v>0</v>
      </c>
      <c r="Q180" s="44">
        <v>0</v>
      </c>
      <c r="R180" s="43">
        <v>1361356.62</v>
      </c>
      <c r="S180" s="44">
        <v>0</v>
      </c>
      <c r="T180" s="41">
        <v>1</v>
      </c>
    </row>
    <row r="181" spans="1:20" ht="15" customHeight="1" x14ac:dyDescent="0.4">
      <c r="A181" s="37" t="s">
        <v>374</v>
      </c>
      <c r="B181" s="38" t="s">
        <v>375</v>
      </c>
      <c r="C181" s="40">
        <v>0</v>
      </c>
      <c r="D181" s="40">
        <v>0</v>
      </c>
      <c r="E181" s="40">
        <v>0</v>
      </c>
      <c r="F181" s="40">
        <v>0</v>
      </c>
      <c r="G181" s="40">
        <v>0</v>
      </c>
      <c r="H181" s="40">
        <v>0</v>
      </c>
      <c r="I181" s="40">
        <v>0</v>
      </c>
      <c r="J181" s="40">
        <v>0</v>
      </c>
      <c r="K181" s="40">
        <v>0</v>
      </c>
      <c r="L181" s="40">
        <v>0</v>
      </c>
      <c r="M181" s="40">
        <v>0</v>
      </c>
      <c r="N181" s="40">
        <v>0</v>
      </c>
      <c r="O181" s="40">
        <v>0</v>
      </c>
      <c r="P181" s="40">
        <v>0</v>
      </c>
      <c r="Q181" s="40">
        <v>0</v>
      </c>
      <c r="R181" s="40">
        <v>0</v>
      </c>
      <c r="S181" s="40">
        <v>0</v>
      </c>
      <c r="T181" s="41">
        <v>2</v>
      </c>
    </row>
    <row r="182" spans="1:20" ht="15" customHeight="1" x14ac:dyDescent="0.4">
      <c r="A182" s="42" t="s">
        <v>376</v>
      </c>
      <c r="B182" s="41" t="s">
        <v>377</v>
      </c>
      <c r="C182" s="44">
        <v>0</v>
      </c>
      <c r="D182" s="44">
        <v>0</v>
      </c>
      <c r="E182" s="44">
        <v>0</v>
      </c>
      <c r="F182" s="44">
        <v>0</v>
      </c>
      <c r="G182" s="44">
        <v>0</v>
      </c>
      <c r="H182" s="44">
        <v>0</v>
      </c>
      <c r="I182" s="44">
        <v>0</v>
      </c>
      <c r="J182" s="44">
        <v>0</v>
      </c>
      <c r="K182" s="44">
        <v>0</v>
      </c>
      <c r="L182" s="44">
        <v>0</v>
      </c>
      <c r="M182" s="44">
        <v>0</v>
      </c>
      <c r="N182" s="44">
        <v>0</v>
      </c>
      <c r="O182" s="44">
        <v>0</v>
      </c>
      <c r="P182" s="44">
        <v>0</v>
      </c>
      <c r="Q182" s="44">
        <v>0</v>
      </c>
      <c r="R182" s="44">
        <v>0</v>
      </c>
      <c r="S182" s="44">
        <v>0</v>
      </c>
      <c r="T182" s="41">
        <v>1</v>
      </c>
    </row>
    <row r="183" spans="1:20" ht="15" customHeight="1" x14ac:dyDescent="0.4">
      <c r="A183" s="42" t="s">
        <v>378</v>
      </c>
      <c r="B183" s="41" t="s">
        <v>379</v>
      </c>
      <c r="C183" s="44">
        <v>0</v>
      </c>
      <c r="D183" s="44">
        <v>0</v>
      </c>
      <c r="E183" s="44">
        <v>0</v>
      </c>
      <c r="F183" s="44">
        <v>0</v>
      </c>
      <c r="G183" s="44">
        <v>0</v>
      </c>
      <c r="H183" s="44">
        <v>0</v>
      </c>
      <c r="I183" s="44">
        <v>0</v>
      </c>
      <c r="J183" s="44">
        <v>0</v>
      </c>
      <c r="K183" s="44">
        <v>0</v>
      </c>
      <c r="L183" s="44">
        <v>0</v>
      </c>
      <c r="M183" s="44">
        <v>0</v>
      </c>
      <c r="N183" s="44">
        <v>0</v>
      </c>
      <c r="O183" s="44">
        <v>0</v>
      </c>
      <c r="P183" s="44">
        <v>0</v>
      </c>
      <c r="Q183" s="44">
        <v>0</v>
      </c>
      <c r="R183" s="44">
        <v>0</v>
      </c>
      <c r="S183" s="44">
        <v>0</v>
      </c>
      <c r="T183" s="41">
        <v>1</v>
      </c>
    </row>
    <row r="184" spans="1:20" ht="15" customHeight="1" x14ac:dyDescent="0.4">
      <c r="A184" s="42" t="s">
        <v>380</v>
      </c>
      <c r="B184" s="41" t="s">
        <v>746</v>
      </c>
      <c r="C184" s="44">
        <v>0</v>
      </c>
      <c r="D184" s="44">
        <v>0</v>
      </c>
      <c r="E184" s="44">
        <v>0</v>
      </c>
      <c r="F184" s="44">
        <v>0</v>
      </c>
      <c r="G184" s="44">
        <v>0</v>
      </c>
      <c r="H184" s="44">
        <v>0</v>
      </c>
      <c r="I184" s="44">
        <v>0</v>
      </c>
      <c r="J184" s="44">
        <v>0</v>
      </c>
      <c r="K184" s="44">
        <v>0</v>
      </c>
      <c r="L184" s="44">
        <v>0</v>
      </c>
      <c r="M184" s="44">
        <v>0</v>
      </c>
      <c r="N184" s="44">
        <v>0</v>
      </c>
      <c r="O184" s="44">
        <v>0</v>
      </c>
      <c r="P184" s="44">
        <v>0</v>
      </c>
      <c r="Q184" s="44">
        <v>0</v>
      </c>
      <c r="R184" s="44">
        <v>0</v>
      </c>
      <c r="S184" s="44">
        <v>0</v>
      </c>
      <c r="T184" s="41">
        <v>1</v>
      </c>
    </row>
    <row r="185" spans="1:20" ht="15" customHeight="1" x14ac:dyDescent="0.4">
      <c r="A185" s="42" t="s">
        <v>382</v>
      </c>
      <c r="B185" s="41" t="s">
        <v>383</v>
      </c>
      <c r="C185" s="44">
        <v>0</v>
      </c>
      <c r="D185" s="44">
        <v>0</v>
      </c>
      <c r="E185" s="44">
        <v>0</v>
      </c>
      <c r="F185" s="44">
        <v>0</v>
      </c>
      <c r="G185" s="44">
        <v>0</v>
      </c>
      <c r="H185" s="44">
        <v>0</v>
      </c>
      <c r="I185" s="44">
        <v>0</v>
      </c>
      <c r="J185" s="44">
        <v>0</v>
      </c>
      <c r="K185" s="44">
        <v>0</v>
      </c>
      <c r="L185" s="44">
        <v>0</v>
      </c>
      <c r="M185" s="44">
        <v>0</v>
      </c>
      <c r="N185" s="44">
        <v>0</v>
      </c>
      <c r="O185" s="44">
        <v>0</v>
      </c>
      <c r="P185" s="44">
        <v>0</v>
      </c>
      <c r="Q185" s="44">
        <v>0</v>
      </c>
      <c r="R185" s="44">
        <v>0</v>
      </c>
      <c r="S185" s="44">
        <v>0</v>
      </c>
      <c r="T185" s="41">
        <v>1</v>
      </c>
    </row>
    <row r="186" spans="1:20" ht="15" customHeight="1" x14ac:dyDescent="0.4">
      <c r="A186" s="42" t="s">
        <v>384</v>
      </c>
      <c r="B186" s="41" t="s">
        <v>385</v>
      </c>
      <c r="C186" s="44">
        <v>0</v>
      </c>
      <c r="D186" s="44">
        <v>0</v>
      </c>
      <c r="E186" s="44">
        <v>0</v>
      </c>
      <c r="F186" s="44">
        <v>0</v>
      </c>
      <c r="G186" s="44">
        <v>0</v>
      </c>
      <c r="H186" s="44">
        <v>0</v>
      </c>
      <c r="I186" s="44">
        <v>0</v>
      </c>
      <c r="J186" s="44">
        <v>0</v>
      </c>
      <c r="K186" s="44">
        <v>0</v>
      </c>
      <c r="L186" s="44">
        <v>0</v>
      </c>
      <c r="M186" s="44">
        <v>0</v>
      </c>
      <c r="N186" s="44">
        <v>0</v>
      </c>
      <c r="O186" s="44">
        <v>0</v>
      </c>
      <c r="P186" s="44">
        <v>0</v>
      </c>
      <c r="Q186" s="44">
        <v>0</v>
      </c>
      <c r="R186" s="44">
        <v>0</v>
      </c>
      <c r="S186" s="44">
        <v>0</v>
      </c>
      <c r="T186" s="41">
        <v>1</v>
      </c>
    </row>
    <row r="187" spans="1:20" ht="15" customHeight="1" x14ac:dyDescent="0.4">
      <c r="A187" s="37" t="s">
        <v>386</v>
      </c>
      <c r="B187" s="38" t="s">
        <v>387</v>
      </c>
      <c r="C187" s="39">
        <v>-1719203138.27</v>
      </c>
      <c r="D187" s="39">
        <v>-8858748968.7399998</v>
      </c>
      <c r="E187" s="39">
        <v>-7032954586.2200003</v>
      </c>
      <c r="F187" s="39">
        <v>-651995198.39999998</v>
      </c>
      <c r="G187" s="39">
        <v>288093047.44999999</v>
      </c>
      <c r="H187" s="39">
        <v>-591105594.30999994</v>
      </c>
      <c r="I187" s="40">
        <v>0</v>
      </c>
      <c r="J187" s="40">
        <v>0</v>
      </c>
      <c r="K187" s="40">
        <v>0</v>
      </c>
      <c r="L187" s="40">
        <v>0</v>
      </c>
      <c r="M187" s="40">
        <v>0</v>
      </c>
      <c r="N187" s="40">
        <v>0</v>
      </c>
      <c r="O187" s="40">
        <v>0</v>
      </c>
      <c r="P187" s="40">
        <v>0</v>
      </c>
      <c r="Q187" s="40">
        <v>0</v>
      </c>
      <c r="R187" s="39">
        <v>-7987962331.4799995</v>
      </c>
      <c r="S187" s="39">
        <v>-955007745.25999999</v>
      </c>
      <c r="T187" s="41">
        <v>2</v>
      </c>
    </row>
    <row r="188" spans="1:20" ht="15" customHeight="1" x14ac:dyDescent="0.4">
      <c r="A188" s="42" t="s">
        <v>388</v>
      </c>
      <c r="B188" s="41" t="s">
        <v>389</v>
      </c>
      <c r="C188" s="44">
        <v>0</v>
      </c>
      <c r="D188" s="44">
        <v>0</v>
      </c>
      <c r="E188" s="44">
        <v>0</v>
      </c>
      <c r="F188" s="44">
        <v>0</v>
      </c>
      <c r="G188" s="44">
        <v>0</v>
      </c>
      <c r="H188" s="44">
        <v>0</v>
      </c>
      <c r="I188" s="44">
        <v>0</v>
      </c>
      <c r="J188" s="44">
        <v>0</v>
      </c>
      <c r="K188" s="44">
        <v>0</v>
      </c>
      <c r="L188" s="44">
        <v>0</v>
      </c>
      <c r="M188" s="44">
        <v>0</v>
      </c>
      <c r="N188" s="44">
        <v>0</v>
      </c>
      <c r="O188" s="44">
        <v>0</v>
      </c>
      <c r="P188" s="44">
        <v>0</v>
      </c>
      <c r="Q188" s="44">
        <v>0</v>
      </c>
      <c r="R188" s="44">
        <v>0</v>
      </c>
      <c r="S188" s="44">
        <v>0</v>
      </c>
      <c r="T188" s="41">
        <v>1</v>
      </c>
    </row>
    <row r="189" spans="1:20" ht="15" customHeight="1" x14ac:dyDescent="0.4">
      <c r="A189" s="42" t="s">
        <v>390</v>
      </c>
      <c r="B189" s="41" t="s">
        <v>391</v>
      </c>
      <c r="C189" s="44">
        <v>0</v>
      </c>
      <c r="D189" s="44">
        <v>0</v>
      </c>
      <c r="E189" s="44">
        <v>0</v>
      </c>
      <c r="F189" s="44">
        <v>0</v>
      </c>
      <c r="G189" s="44">
        <v>0</v>
      </c>
      <c r="H189" s="44">
        <v>0</v>
      </c>
      <c r="I189" s="44">
        <v>0</v>
      </c>
      <c r="J189" s="44">
        <v>0</v>
      </c>
      <c r="K189" s="44">
        <v>0</v>
      </c>
      <c r="L189" s="44">
        <v>0</v>
      </c>
      <c r="M189" s="44">
        <v>0</v>
      </c>
      <c r="N189" s="44">
        <v>0</v>
      </c>
      <c r="O189" s="44">
        <v>0</v>
      </c>
      <c r="P189" s="44">
        <v>0</v>
      </c>
      <c r="Q189" s="44">
        <v>0</v>
      </c>
      <c r="R189" s="44">
        <v>0</v>
      </c>
      <c r="S189" s="44">
        <v>0</v>
      </c>
      <c r="T189" s="41">
        <v>1</v>
      </c>
    </row>
    <row r="190" spans="1:20" ht="15" customHeight="1" x14ac:dyDescent="0.4">
      <c r="A190" s="42" t="s">
        <v>392</v>
      </c>
      <c r="B190" s="41" t="s">
        <v>393</v>
      </c>
      <c r="C190" s="44">
        <v>0</v>
      </c>
      <c r="D190" s="44">
        <v>0</v>
      </c>
      <c r="E190" s="44">
        <v>0</v>
      </c>
      <c r="F190" s="44">
        <v>0</v>
      </c>
      <c r="G190" s="44">
        <v>0</v>
      </c>
      <c r="H190" s="44">
        <v>0</v>
      </c>
      <c r="I190" s="44">
        <v>0</v>
      </c>
      <c r="J190" s="44">
        <v>0</v>
      </c>
      <c r="K190" s="44">
        <v>0</v>
      </c>
      <c r="L190" s="44">
        <v>0</v>
      </c>
      <c r="M190" s="44">
        <v>0</v>
      </c>
      <c r="N190" s="44">
        <v>0</v>
      </c>
      <c r="O190" s="44">
        <v>0</v>
      </c>
      <c r="P190" s="44">
        <v>0</v>
      </c>
      <c r="Q190" s="44">
        <v>0</v>
      </c>
      <c r="R190" s="44">
        <v>0</v>
      </c>
      <c r="S190" s="44">
        <v>0</v>
      </c>
      <c r="T190" s="41">
        <v>1</v>
      </c>
    </row>
    <row r="191" spans="1:20" ht="15" customHeight="1" x14ac:dyDescent="0.4">
      <c r="A191" s="42" t="s">
        <v>394</v>
      </c>
      <c r="B191" s="41" t="s">
        <v>395</v>
      </c>
      <c r="C191" s="44">
        <v>0</v>
      </c>
      <c r="D191" s="44">
        <v>0</v>
      </c>
      <c r="E191" s="44">
        <v>0</v>
      </c>
      <c r="F191" s="44">
        <v>0</v>
      </c>
      <c r="G191" s="44">
        <v>0</v>
      </c>
      <c r="H191" s="44">
        <v>0</v>
      </c>
      <c r="I191" s="44">
        <v>0</v>
      </c>
      <c r="J191" s="44">
        <v>0</v>
      </c>
      <c r="K191" s="44">
        <v>0</v>
      </c>
      <c r="L191" s="44">
        <v>0</v>
      </c>
      <c r="M191" s="44">
        <v>0</v>
      </c>
      <c r="N191" s="44">
        <v>0</v>
      </c>
      <c r="O191" s="44">
        <v>0</v>
      </c>
      <c r="P191" s="44">
        <v>0</v>
      </c>
      <c r="Q191" s="44">
        <v>0</v>
      </c>
      <c r="R191" s="44">
        <v>0</v>
      </c>
      <c r="S191" s="44">
        <v>0</v>
      </c>
      <c r="T191" s="41">
        <v>1</v>
      </c>
    </row>
    <row r="192" spans="1:20" ht="15" customHeight="1" x14ac:dyDescent="0.4">
      <c r="A192" s="42" t="s">
        <v>396</v>
      </c>
      <c r="B192" s="41" t="s">
        <v>397</v>
      </c>
      <c r="C192" s="44">
        <v>0</v>
      </c>
      <c r="D192" s="44">
        <v>0</v>
      </c>
      <c r="E192" s="44">
        <v>0</v>
      </c>
      <c r="F192" s="44">
        <v>0</v>
      </c>
      <c r="G192" s="44">
        <v>0</v>
      </c>
      <c r="H192" s="44">
        <v>0</v>
      </c>
      <c r="I192" s="44">
        <v>0</v>
      </c>
      <c r="J192" s="44">
        <v>0</v>
      </c>
      <c r="K192" s="44">
        <v>0</v>
      </c>
      <c r="L192" s="44">
        <v>0</v>
      </c>
      <c r="M192" s="44">
        <v>0</v>
      </c>
      <c r="N192" s="44">
        <v>0</v>
      </c>
      <c r="O192" s="44">
        <v>0</v>
      </c>
      <c r="P192" s="44">
        <v>0</v>
      </c>
      <c r="Q192" s="44">
        <v>0</v>
      </c>
      <c r="R192" s="44">
        <v>0</v>
      </c>
      <c r="S192" s="44">
        <v>0</v>
      </c>
      <c r="T192" s="41">
        <v>1</v>
      </c>
    </row>
    <row r="193" spans="1:20" ht="15" customHeight="1" x14ac:dyDescent="0.4">
      <c r="A193" s="42" t="s">
        <v>398</v>
      </c>
      <c r="B193" s="41" t="s">
        <v>399</v>
      </c>
      <c r="C193" s="44">
        <v>0</v>
      </c>
      <c r="D193" s="43">
        <v>-7042700333.1700001</v>
      </c>
      <c r="E193" s="43">
        <v>-7042700333.1700001</v>
      </c>
      <c r="F193" s="43">
        <v>9745746.9499999993</v>
      </c>
      <c r="G193" s="44">
        <v>0</v>
      </c>
      <c r="H193" s="44">
        <v>0</v>
      </c>
      <c r="I193" s="44">
        <v>0</v>
      </c>
      <c r="J193" s="44">
        <v>0</v>
      </c>
      <c r="K193" s="44">
        <v>0</v>
      </c>
      <c r="L193" s="44">
        <v>0</v>
      </c>
      <c r="M193" s="44">
        <v>0</v>
      </c>
      <c r="N193" s="44">
        <v>0</v>
      </c>
      <c r="O193" s="44">
        <v>0</v>
      </c>
      <c r="P193" s="44">
        <v>0</v>
      </c>
      <c r="Q193" s="44">
        <v>0</v>
      </c>
      <c r="R193" s="43">
        <v>-7032954586.2200003</v>
      </c>
      <c r="S193" s="43">
        <v>9745746.9499999993</v>
      </c>
      <c r="T193" s="41">
        <v>1</v>
      </c>
    </row>
    <row r="194" spans="1:20" ht="15" customHeight="1" x14ac:dyDescent="0.4">
      <c r="A194" s="42" t="s">
        <v>400</v>
      </c>
      <c r="B194" s="41" t="s">
        <v>401</v>
      </c>
      <c r="C194" s="43">
        <v>-1719203138.27</v>
      </c>
      <c r="D194" s="43">
        <v>-1816048635.5699999</v>
      </c>
      <c r="E194" s="43">
        <v>9745746.9499999993</v>
      </c>
      <c r="F194" s="43">
        <v>-661740945.35000002</v>
      </c>
      <c r="G194" s="43">
        <v>288093047.44999999</v>
      </c>
      <c r="H194" s="43">
        <v>-591105594.30999994</v>
      </c>
      <c r="I194" s="44">
        <v>0</v>
      </c>
      <c r="J194" s="44">
        <v>0</v>
      </c>
      <c r="K194" s="44">
        <v>0</v>
      </c>
      <c r="L194" s="44">
        <v>0</v>
      </c>
      <c r="M194" s="44">
        <v>0</v>
      </c>
      <c r="N194" s="44">
        <v>0</v>
      </c>
      <c r="O194" s="44">
        <v>0</v>
      </c>
      <c r="P194" s="44">
        <v>0</v>
      </c>
      <c r="Q194" s="44">
        <v>0</v>
      </c>
      <c r="R194" s="43">
        <v>-955007745.25999999</v>
      </c>
      <c r="S194" s="43">
        <v>-964753492.21000004</v>
      </c>
      <c r="T194" s="41">
        <v>1</v>
      </c>
    </row>
    <row r="195" spans="1:20" ht="15" customHeight="1" x14ac:dyDescent="0.4">
      <c r="A195" s="37" t="s">
        <v>402</v>
      </c>
      <c r="B195" s="38" t="s">
        <v>403</v>
      </c>
      <c r="C195" s="40">
        <v>0</v>
      </c>
      <c r="D195" s="40">
        <v>0</v>
      </c>
      <c r="E195" s="40">
        <v>0</v>
      </c>
      <c r="F195" s="40">
        <v>0</v>
      </c>
      <c r="G195" s="40">
        <v>0</v>
      </c>
      <c r="H195" s="40">
        <v>0</v>
      </c>
      <c r="I195" s="40">
        <v>0</v>
      </c>
      <c r="J195" s="40">
        <v>0</v>
      </c>
      <c r="K195" s="40">
        <v>0</v>
      </c>
      <c r="L195" s="40">
        <v>0</v>
      </c>
      <c r="M195" s="40">
        <v>0</v>
      </c>
      <c r="N195" s="40">
        <v>0</v>
      </c>
      <c r="O195" s="40">
        <v>0</v>
      </c>
      <c r="P195" s="40">
        <v>0</v>
      </c>
      <c r="Q195" s="40">
        <v>0</v>
      </c>
      <c r="R195" s="40">
        <v>0</v>
      </c>
      <c r="S195" s="40">
        <v>0</v>
      </c>
      <c r="T195" s="41">
        <v>2</v>
      </c>
    </row>
    <row r="196" spans="1:20" ht="15" customHeight="1" x14ac:dyDescent="0.4">
      <c r="A196" s="42" t="s">
        <v>404</v>
      </c>
      <c r="B196" s="41" t="s">
        <v>405</v>
      </c>
      <c r="C196" s="44">
        <v>0</v>
      </c>
      <c r="D196" s="44">
        <v>0</v>
      </c>
      <c r="E196" s="44">
        <v>0</v>
      </c>
      <c r="F196" s="44">
        <v>0</v>
      </c>
      <c r="G196" s="44">
        <v>0</v>
      </c>
      <c r="H196" s="44">
        <v>0</v>
      </c>
      <c r="I196" s="44">
        <v>0</v>
      </c>
      <c r="J196" s="44">
        <v>0</v>
      </c>
      <c r="K196" s="44">
        <v>0</v>
      </c>
      <c r="L196" s="44">
        <v>0</v>
      </c>
      <c r="M196" s="44">
        <v>0</v>
      </c>
      <c r="N196" s="44">
        <v>0</v>
      </c>
      <c r="O196" s="44">
        <v>0</v>
      </c>
      <c r="P196" s="44">
        <v>0</v>
      </c>
      <c r="Q196" s="44">
        <v>0</v>
      </c>
      <c r="R196" s="44">
        <v>0</v>
      </c>
      <c r="S196" s="44">
        <v>0</v>
      </c>
      <c r="T196" s="41">
        <v>1</v>
      </c>
    </row>
    <row r="197" spans="1:20" ht="15" customHeight="1" x14ac:dyDescent="0.4">
      <c r="A197" s="42" t="s">
        <v>406</v>
      </c>
      <c r="B197" s="41" t="s">
        <v>407</v>
      </c>
      <c r="C197" s="44">
        <v>0</v>
      </c>
      <c r="D197" s="44">
        <v>0</v>
      </c>
      <c r="E197" s="44">
        <v>0</v>
      </c>
      <c r="F197" s="44">
        <v>0</v>
      </c>
      <c r="G197" s="44">
        <v>0</v>
      </c>
      <c r="H197" s="44">
        <v>0</v>
      </c>
      <c r="I197" s="44">
        <v>0</v>
      </c>
      <c r="J197" s="44">
        <v>0</v>
      </c>
      <c r="K197" s="44">
        <v>0</v>
      </c>
      <c r="L197" s="44">
        <v>0</v>
      </c>
      <c r="M197" s="44">
        <v>0</v>
      </c>
      <c r="N197" s="44">
        <v>0</v>
      </c>
      <c r="O197" s="44">
        <v>0</v>
      </c>
      <c r="P197" s="44">
        <v>0</v>
      </c>
      <c r="Q197" s="44">
        <v>0</v>
      </c>
      <c r="R197" s="44">
        <v>0</v>
      </c>
      <c r="S197" s="44">
        <v>0</v>
      </c>
      <c r="T197" s="41">
        <v>1</v>
      </c>
    </row>
    <row r="198" spans="1:20" ht="15" customHeight="1" x14ac:dyDescent="0.4">
      <c r="A198" s="42" t="s">
        <v>408</v>
      </c>
      <c r="B198" s="41" t="s">
        <v>409</v>
      </c>
      <c r="C198" s="44">
        <v>0</v>
      </c>
      <c r="D198" s="44">
        <v>0</v>
      </c>
      <c r="E198" s="44">
        <v>0</v>
      </c>
      <c r="F198" s="44">
        <v>0</v>
      </c>
      <c r="G198" s="44">
        <v>0</v>
      </c>
      <c r="H198" s="44">
        <v>0</v>
      </c>
      <c r="I198" s="44">
        <v>0</v>
      </c>
      <c r="J198" s="44">
        <v>0</v>
      </c>
      <c r="K198" s="44">
        <v>0</v>
      </c>
      <c r="L198" s="44">
        <v>0</v>
      </c>
      <c r="M198" s="44">
        <v>0</v>
      </c>
      <c r="N198" s="44">
        <v>0</v>
      </c>
      <c r="O198" s="44">
        <v>0</v>
      </c>
      <c r="P198" s="44">
        <v>0</v>
      </c>
      <c r="Q198" s="44">
        <v>0</v>
      </c>
      <c r="R198" s="44">
        <v>0</v>
      </c>
      <c r="S198" s="44">
        <v>0</v>
      </c>
      <c r="T198" s="41">
        <v>1</v>
      </c>
    </row>
    <row r="199" spans="1:20" ht="15" customHeight="1" x14ac:dyDescent="0.4">
      <c r="A199" s="42" t="s">
        <v>410</v>
      </c>
      <c r="B199" s="41" t="s">
        <v>411</v>
      </c>
      <c r="C199" s="44">
        <v>0</v>
      </c>
      <c r="D199" s="44">
        <v>0</v>
      </c>
      <c r="E199" s="44">
        <v>0</v>
      </c>
      <c r="F199" s="44">
        <v>0</v>
      </c>
      <c r="G199" s="44">
        <v>0</v>
      </c>
      <c r="H199" s="44">
        <v>0</v>
      </c>
      <c r="I199" s="44">
        <v>0</v>
      </c>
      <c r="J199" s="44">
        <v>0</v>
      </c>
      <c r="K199" s="44">
        <v>0</v>
      </c>
      <c r="L199" s="44">
        <v>0</v>
      </c>
      <c r="M199" s="44">
        <v>0</v>
      </c>
      <c r="N199" s="44">
        <v>0</v>
      </c>
      <c r="O199" s="44">
        <v>0</v>
      </c>
      <c r="P199" s="44">
        <v>0</v>
      </c>
      <c r="Q199" s="44">
        <v>0</v>
      </c>
      <c r="R199" s="44">
        <v>0</v>
      </c>
      <c r="S199" s="44">
        <v>0</v>
      </c>
      <c r="T199" s="41">
        <v>1</v>
      </c>
    </row>
    <row r="200" spans="1:20" ht="15" customHeight="1" x14ac:dyDescent="0.4">
      <c r="A200" s="42" t="s">
        <v>412</v>
      </c>
      <c r="B200" s="41" t="s">
        <v>413</v>
      </c>
      <c r="C200" s="44">
        <v>0</v>
      </c>
      <c r="D200" s="44">
        <v>0</v>
      </c>
      <c r="E200" s="44">
        <v>0</v>
      </c>
      <c r="F200" s="44">
        <v>0</v>
      </c>
      <c r="G200" s="44">
        <v>0</v>
      </c>
      <c r="H200" s="44">
        <v>0</v>
      </c>
      <c r="I200" s="44">
        <v>0</v>
      </c>
      <c r="J200" s="44">
        <v>0</v>
      </c>
      <c r="K200" s="44">
        <v>0</v>
      </c>
      <c r="L200" s="44">
        <v>0</v>
      </c>
      <c r="M200" s="44">
        <v>0</v>
      </c>
      <c r="N200" s="44">
        <v>0</v>
      </c>
      <c r="O200" s="44">
        <v>0</v>
      </c>
      <c r="P200" s="44">
        <v>0</v>
      </c>
      <c r="Q200" s="44">
        <v>0</v>
      </c>
      <c r="R200" s="44">
        <v>0</v>
      </c>
      <c r="S200" s="44">
        <v>0</v>
      </c>
      <c r="T200" s="41">
        <v>1</v>
      </c>
    </row>
    <row r="201" spans="1:20" ht="15" customHeight="1" x14ac:dyDescent="0.4">
      <c r="A201" s="42" t="s">
        <v>414</v>
      </c>
      <c r="B201" s="41" t="s">
        <v>415</v>
      </c>
      <c r="C201" s="44">
        <v>0</v>
      </c>
      <c r="D201" s="44">
        <v>0</v>
      </c>
      <c r="E201" s="44">
        <v>0</v>
      </c>
      <c r="F201" s="44">
        <v>0</v>
      </c>
      <c r="G201" s="44">
        <v>0</v>
      </c>
      <c r="H201" s="44">
        <v>0</v>
      </c>
      <c r="I201" s="44">
        <v>0</v>
      </c>
      <c r="J201" s="44">
        <v>0</v>
      </c>
      <c r="K201" s="44">
        <v>0</v>
      </c>
      <c r="L201" s="44">
        <v>0</v>
      </c>
      <c r="M201" s="44">
        <v>0</v>
      </c>
      <c r="N201" s="44">
        <v>0</v>
      </c>
      <c r="O201" s="44">
        <v>0</v>
      </c>
      <c r="P201" s="44">
        <v>0</v>
      </c>
      <c r="Q201" s="44">
        <v>0</v>
      </c>
      <c r="R201" s="44">
        <v>0</v>
      </c>
      <c r="S201" s="44">
        <v>0</v>
      </c>
      <c r="T201" s="41">
        <v>1</v>
      </c>
    </row>
    <row r="202" spans="1:20" ht="15" customHeight="1" x14ac:dyDescent="0.4">
      <c r="A202" s="42" t="s">
        <v>416</v>
      </c>
      <c r="B202" s="41" t="s">
        <v>417</v>
      </c>
      <c r="C202" s="44">
        <v>0</v>
      </c>
      <c r="D202" s="44">
        <v>0</v>
      </c>
      <c r="E202" s="44">
        <v>0</v>
      </c>
      <c r="F202" s="44">
        <v>0</v>
      </c>
      <c r="G202" s="44">
        <v>0</v>
      </c>
      <c r="H202" s="44">
        <v>0</v>
      </c>
      <c r="I202" s="44">
        <v>0</v>
      </c>
      <c r="J202" s="44">
        <v>0</v>
      </c>
      <c r="K202" s="44">
        <v>0</v>
      </c>
      <c r="L202" s="44">
        <v>0</v>
      </c>
      <c r="M202" s="44">
        <v>0</v>
      </c>
      <c r="N202" s="44">
        <v>0</v>
      </c>
      <c r="O202" s="44">
        <v>0</v>
      </c>
      <c r="P202" s="44">
        <v>0</v>
      </c>
      <c r="Q202" s="44">
        <v>0</v>
      </c>
      <c r="R202" s="44">
        <v>0</v>
      </c>
      <c r="S202" s="44">
        <v>0</v>
      </c>
      <c r="T202" s="41">
        <v>1</v>
      </c>
    </row>
    <row r="203" spans="1:20" ht="15" customHeight="1" x14ac:dyDescent="0.4">
      <c r="A203" s="42" t="s">
        <v>418</v>
      </c>
      <c r="B203" s="41" t="s">
        <v>403</v>
      </c>
      <c r="C203" s="44">
        <v>0</v>
      </c>
      <c r="D203" s="44">
        <v>0</v>
      </c>
      <c r="E203" s="44">
        <v>0</v>
      </c>
      <c r="F203" s="44">
        <v>0</v>
      </c>
      <c r="G203" s="44">
        <v>0</v>
      </c>
      <c r="H203" s="44">
        <v>0</v>
      </c>
      <c r="I203" s="44">
        <v>0</v>
      </c>
      <c r="J203" s="44">
        <v>0</v>
      </c>
      <c r="K203" s="44">
        <v>0</v>
      </c>
      <c r="L203" s="44">
        <v>0</v>
      </c>
      <c r="M203" s="44">
        <v>0</v>
      </c>
      <c r="N203" s="44">
        <v>0</v>
      </c>
      <c r="O203" s="44">
        <v>0</v>
      </c>
      <c r="P203" s="44">
        <v>0</v>
      </c>
      <c r="Q203" s="44">
        <v>0</v>
      </c>
      <c r="R203" s="44">
        <v>0</v>
      </c>
      <c r="S203" s="44">
        <v>0</v>
      </c>
      <c r="T203" s="41">
        <v>1</v>
      </c>
    </row>
    <row r="204" spans="1:20" x14ac:dyDescent="0.4">
      <c r="A204" s="37" t="s">
        <v>419</v>
      </c>
      <c r="B204" s="38" t="s">
        <v>747</v>
      </c>
      <c r="C204" s="39">
        <v>-5015938615.9200001</v>
      </c>
      <c r="D204" s="39">
        <v>53766085778.529999</v>
      </c>
      <c r="E204" s="39">
        <v>63023901999.5</v>
      </c>
      <c r="F204" s="39">
        <v>-1503553058.3299999</v>
      </c>
      <c r="G204" s="39">
        <v>-463117602.58999997</v>
      </c>
      <c r="H204" s="39">
        <v>1880015136.1300001</v>
      </c>
      <c r="I204" s="40">
        <v>0</v>
      </c>
      <c r="J204" s="40">
        <v>0</v>
      </c>
      <c r="K204" s="40">
        <v>0</v>
      </c>
      <c r="L204" s="40">
        <v>0</v>
      </c>
      <c r="M204" s="40">
        <v>0</v>
      </c>
      <c r="N204" s="40">
        <v>0</v>
      </c>
      <c r="O204" s="40">
        <v>0</v>
      </c>
      <c r="P204" s="40">
        <v>0</v>
      </c>
      <c r="Q204" s="40">
        <v>0</v>
      </c>
      <c r="R204" s="39">
        <v>62937246474.709999</v>
      </c>
      <c r="S204" s="39">
        <v>-86655524.790000007</v>
      </c>
      <c r="T204" s="41">
        <v>2</v>
      </c>
    </row>
  </sheetData>
  <phoneticPr fontId="3" type="noConversion"/>
  <dataValidations disablePrompts="1" count="2">
    <dataValidation type="decimal" allowBlank="1" showInputMessage="1" showErrorMessage="1" error="The value entered exceeded the allowed range." sqref="C205:S1048576" xr:uid="{3D3436E5-A949-4827-86CB-BDEE6B196702}"/>
    <dataValidation type="textLength" allowBlank="1" showInputMessage="1" showErrorMessage="1" error="The number of entered characters exceeds the maximum number of allowed characters." sqref="A205:B1048576" xr:uid="{273C04C6-07C4-41C9-92E7-A2084C78B78E}"/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8BD4-8F5F-4FF8-90CC-689FD1B075D1}">
  <dimension ref="A1:T147"/>
  <sheetViews>
    <sheetView workbookViewId="0">
      <selection activeCell="A2" sqref="A2:S147"/>
    </sheetView>
  </sheetViews>
  <sheetFormatPr defaultColWidth="7.19921875" defaultRowHeight="10.8" x14ac:dyDescent="0.4"/>
  <cols>
    <col min="1" max="1" width="14" style="3" customWidth="1"/>
    <col min="2" max="2" width="18.69921875" style="4" customWidth="1"/>
    <col min="3" max="19" width="12.09765625" style="5" customWidth="1"/>
    <col min="20" max="20" width="7.19921875" style="2"/>
    <col min="21" max="16384" width="7.19921875" style="1"/>
  </cols>
  <sheetData>
    <row r="1" spans="1:20" ht="45" customHeight="1" x14ac:dyDescent="0.4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421</v>
      </c>
      <c r="T1" s="36" t="s">
        <v>19</v>
      </c>
    </row>
    <row r="2" spans="1:20" ht="15" customHeight="1" x14ac:dyDescent="0.4">
      <c r="A2" s="37" t="s">
        <v>422</v>
      </c>
      <c r="B2" s="38" t="s">
        <v>423</v>
      </c>
      <c r="C2" s="39">
        <v>2714958337.9200001</v>
      </c>
      <c r="D2" s="39">
        <v>13637841767.799999</v>
      </c>
      <c r="E2" s="39">
        <v>76630556549.220001</v>
      </c>
      <c r="F2" s="39">
        <v>6516342640.1300001</v>
      </c>
      <c r="G2" s="39">
        <v>5365990787.6899996</v>
      </c>
      <c r="H2" s="39">
        <v>4551348449.5900002</v>
      </c>
      <c r="I2" s="40">
        <v>0</v>
      </c>
      <c r="J2" s="40">
        <v>0</v>
      </c>
      <c r="K2" s="40">
        <v>0</v>
      </c>
      <c r="L2" s="40">
        <v>0</v>
      </c>
      <c r="M2" s="40">
        <v>0</v>
      </c>
      <c r="N2" s="40">
        <v>0</v>
      </c>
      <c r="O2" s="40">
        <v>0</v>
      </c>
      <c r="P2" s="40">
        <v>0</v>
      </c>
      <c r="Q2" s="40">
        <v>0</v>
      </c>
      <c r="R2" s="39">
        <v>16433681877.41</v>
      </c>
      <c r="S2" s="39">
        <v>2795840109.6100001</v>
      </c>
      <c r="T2" s="41">
        <v>2</v>
      </c>
    </row>
    <row r="3" spans="1:20" ht="15" customHeight="1" x14ac:dyDescent="0.4">
      <c r="A3" s="37" t="s">
        <v>424</v>
      </c>
      <c r="B3" s="38" t="s">
        <v>425</v>
      </c>
      <c r="C3" s="39">
        <v>2714958337.9200001</v>
      </c>
      <c r="D3" s="39">
        <v>13637841767.799999</v>
      </c>
      <c r="E3" s="39">
        <v>76630556549.220001</v>
      </c>
      <c r="F3" s="39">
        <v>6516342640.1300001</v>
      </c>
      <c r="G3" s="39">
        <v>5365990787.6899996</v>
      </c>
      <c r="H3" s="39">
        <v>4551348449.5900002</v>
      </c>
      <c r="I3" s="40">
        <v>0</v>
      </c>
      <c r="J3" s="40">
        <v>0</v>
      </c>
      <c r="K3" s="40">
        <v>0</v>
      </c>
      <c r="L3" s="40">
        <v>0</v>
      </c>
      <c r="M3" s="40">
        <v>0</v>
      </c>
      <c r="N3" s="40">
        <v>0</v>
      </c>
      <c r="O3" s="40">
        <v>0</v>
      </c>
      <c r="P3" s="40">
        <v>0</v>
      </c>
      <c r="Q3" s="40">
        <v>0</v>
      </c>
      <c r="R3" s="39">
        <v>16433681877.41</v>
      </c>
      <c r="S3" s="39">
        <v>2795840109.6100001</v>
      </c>
      <c r="T3" s="41">
        <v>2</v>
      </c>
    </row>
    <row r="4" spans="1:20" ht="15" customHeight="1" x14ac:dyDescent="0.4">
      <c r="A4" s="42" t="s">
        <v>426</v>
      </c>
      <c r="B4" s="41" t="s">
        <v>427</v>
      </c>
      <c r="C4" s="43">
        <v>34723115.420000002</v>
      </c>
      <c r="D4" s="43">
        <v>461471546.61000001</v>
      </c>
      <c r="E4" s="43">
        <v>1946463246.76</v>
      </c>
      <c r="F4" s="43">
        <v>199204943.72</v>
      </c>
      <c r="G4" s="43">
        <v>165464292.71000001</v>
      </c>
      <c r="H4" s="43">
        <v>223241057.55000001</v>
      </c>
      <c r="I4" s="44">
        <v>0</v>
      </c>
      <c r="J4" s="44">
        <v>0</v>
      </c>
      <c r="K4" s="44">
        <v>0</v>
      </c>
      <c r="L4" s="44">
        <v>0</v>
      </c>
      <c r="M4" s="44">
        <v>0</v>
      </c>
      <c r="N4" s="44">
        <v>0</v>
      </c>
      <c r="O4" s="44">
        <v>0</v>
      </c>
      <c r="P4" s="44">
        <v>0</v>
      </c>
      <c r="Q4" s="44">
        <v>0</v>
      </c>
      <c r="R4" s="43">
        <v>587910293.98000002</v>
      </c>
      <c r="S4" s="43">
        <v>126438747.37</v>
      </c>
      <c r="T4" s="41">
        <v>1</v>
      </c>
    </row>
    <row r="5" spans="1:20" ht="15" customHeight="1" x14ac:dyDescent="0.4">
      <c r="A5" s="42" t="s">
        <v>428</v>
      </c>
      <c r="B5" s="41" t="s">
        <v>429</v>
      </c>
      <c r="C5" s="43">
        <v>2582428119.7399998</v>
      </c>
      <c r="D5" s="43">
        <v>12881449450.389999</v>
      </c>
      <c r="E5" s="43">
        <v>73909721361.860001</v>
      </c>
      <c r="F5" s="43">
        <v>6299426409.2399998</v>
      </c>
      <c r="G5" s="43">
        <v>5197408163</v>
      </c>
      <c r="H5" s="43">
        <v>4320297867.5900002</v>
      </c>
      <c r="I5" s="44">
        <v>0</v>
      </c>
      <c r="J5" s="44">
        <v>0</v>
      </c>
      <c r="K5" s="44">
        <v>0</v>
      </c>
      <c r="L5" s="44">
        <v>0</v>
      </c>
      <c r="M5" s="44">
        <v>0</v>
      </c>
      <c r="N5" s="44">
        <v>0</v>
      </c>
      <c r="O5" s="44">
        <v>0</v>
      </c>
      <c r="P5" s="44">
        <v>0</v>
      </c>
      <c r="Q5" s="44">
        <v>0</v>
      </c>
      <c r="R5" s="43">
        <v>15817132439.83</v>
      </c>
      <c r="S5" s="43">
        <v>2935682989.4400001</v>
      </c>
      <c r="T5" s="41">
        <v>1</v>
      </c>
    </row>
    <row r="6" spans="1:20" ht="15" customHeight="1" x14ac:dyDescent="0.4">
      <c r="A6" s="42" t="s">
        <v>430</v>
      </c>
      <c r="B6" s="41" t="s">
        <v>431</v>
      </c>
      <c r="C6" s="43">
        <v>50197152.700000003</v>
      </c>
      <c r="D6" s="43">
        <v>249385056.80000001</v>
      </c>
      <c r="E6" s="43">
        <v>717157655.15999997</v>
      </c>
      <c r="F6" s="43">
        <v>17139858.59</v>
      </c>
      <c r="G6" s="43">
        <v>2975474.84</v>
      </c>
      <c r="H6" s="43">
        <v>8416667.3100000005</v>
      </c>
      <c r="I6" s="44">
        <v>0</v>
      </c>
      <c r="J6" s="44">
        <v>0</v>
      </c>
      <c r="K6" s="44">
        <v>0</v>
      </c>
      <c r="L6" s="44">
        <v>0</v>
      </c>
      <c r="M6" s="44">
        <v>0</v>
      </c>
      <c r="N6" s="44">
        <v>0</v>
      </c>
      <c r="O6" s="44">
        <v>0</v>
      </c>
      <c r="P6" s="44">
        <v>0</v>
      </c>
      <c r="Q6" s="44">
        <v>0</v>
      </c>
      <c r="R6" s="43">
        <v>28532000.739999998</v>
      </c>
      <c r="S6" s="43">
        <v>-220853056.06</v>
      </c>
      <c r="T6" s="41">
        <v>1</v>
      </c>
    </row>
    <row r="7" spans="1:20" ht="15" customHeight="1" x14ac:dyDescent="0.4">
      <c r="A7" s="42" t="s">
        <v>432</v>
      </c>
      <c r="B7" s="41" t="s">
        <v>433</v>
      </c>
      <c r="C7" s="43">
        <v>47609950.060000002</v>
      </c>
      <c r="D7" s="43">
        <v>45535714</v>
      </c>
      <c r="E7" s="43">
        <v>45535714</v>
      </c>
      <c r="F7" s="44">
        <v>0</v>
      </c>
      <c r="G7" s="44">
        <v>0</v>
      </c>
      <c r="H7" s="44">
        <v>0</v>
      </c>
      <c r="I7" s="44">
        <v>0</v>
      </c>
      <c r="J7" s="44">
        <v>0</v>
      </c>
      <c r="K7" s="44">
        <v>0</v>
      </c>
      <c r="L7" s="44">
        <v>0</v>
      </c>
      <c r="M7" s="44">
        <v>0</v>
      </c>
      <c r="N7" s="44">
        <v>0</v>
      </c>
      <c r="O7" s="44">
        <v>0</v>
      </c>
      <c r="P7" s="44">
        <v>0</v>
      </c>
      <c r="Q7" s="44">
        <v>0</v>
      </c>
      <c r="R7" s="44">
        <v>0</v>
      </c>
      <c r="S7" s="43">
        <v>-45535714</v>
      </c>
      <c r="T7" s="41">
        <v>1</v>
      </c>
    </row>
    <row r="8" spans="1:20" ht="15" customHeight="1" x14ac:dyDescent="0.4">
      <c r="A8" s="42" t="s">
        <v>434</v>
      </c>
      <c r="B8" s="41" t="s">
        <v>435</v>
      </c>
      <c r="C8" s="44">
        <v>0</v>
      </c>
      <c r="D8" s="44">
        <v>0</v>
      </c>
      <c r="E8" s="43">
        <v>11678571.439999999</v>
      </c>
      <c r="F8" s="43">
        <v>571428.57999999996</v>
      </c>
      <c r="G8" s="43">
        <v>142857.14000000001</v>
      </c>
      <c r="H8" s="43">
        <v>-607142.86</v>
      </c>
      <c r="I8" s="44">
        <v>0</v>
      </c>
      <c r="J8" s="44">
        <v>0</v>
      </c>
      <c r="K8" s="44">
        <v>0</v>
      </c>
      <c r="L8" s="44">
        <v>0</v>
      </c>
      <c r="M8" s="44">
        <v>0</v>
      </c>
      <c r="N8" s="44">
        <v>0</v>
      </c>
      <c r="O8" s="44">
        <v>0</v>
      </c>
      <c r="P8" s="44">
        <v>0</v>
      </c>
      <c r="Q8" s="44">
        <v>0</v>
      </c>
      <c r="R8" s="43">
        <v>107142.86</v>
      </c>
      <c r="S8" s="43">
        <v>107142.86</v>
      </c>
      <c r="T8" s="41">
        <v>1</v>
      </c>
    </row>
    <row r="9" spans="1:20" ht="15" customHeight="1" x14ac:dyDescent="0.4">
      <c r="A9" s="42" t="s">
        <v>436</v>
      </c>
      <c r="B9" s="41" t="s">
        <v>437</v>
      </c>
      <c r="C9" s="44">
        <v>0</v>
      </c>
      <c r="D9" s="44">
        <v>0</v>
      </c>
      <c r="E9" s="44">
        <v>0</v>
      </c>
      <c r="F9" s="44">
        <v>0</v>
      </c>
      <c r="G9" s="44">
        <v>0</v>
      </c>
      <c r="H9" s="44">
        <v>0</v>
      </c>
      <c r="I9" s="44">
        <v>0</v>
      </c>
      <c r="J9" s="44">
        <v>0</v>
      </c>
      <c r="K9" s="44">
        <v>0</v>
      </c>
      <c r="L9" s="44">
        <v>0</v>
      </c>
      <c r="M9" s="44">
        <v>0</v>
      </c>
      <c r="N9" s="44">
        <v>0</v>
      </c>
      <c r="O9" s="44">
        <v>0</v>
      </c>
      <c r="P9" s="44">
        <v>0</v>
      </c>
      <c r="Q9" s="44">
        <v>0</v>
      </c>
      <c r="R9" s="44">
        <v>0</v>
      </c>
      <c r="S9" s="44">
        <v>0</v>
      </c>
      <c r="T9" s="41">
        <v>1</v>
      </c>
    </row>
    <row r="10" spans="1:20" ht="15" customHeight="1" x14ac:dyDescent="0.4">
      <c r="A10" s="42" t="s">
        <v>438</v>
      </c>
      <c r="B10" s="41" t="s">
        <v>439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0</v>
      </c>
      <c r="P10" s="44">
        <v>0</v>
      </c>
      <c r="Q10" s="44">
        <v>0</v>
      </c>
      <c r="R10" s="44">
        <v>0</v>
      </c>
      <c r="S10" s="44">
        <v>0</v>
      </c>
      <c r="T10" s="41">
        <v>1</v>
      </c>
    </row>
    <row r="11" spans="1:20" ht="15" customHeight="1" x14ac:dyDescent="0.4">
      <c r="A11" s="42" t="s">
        <v>440</v>
      </c>
      <c r="B11" s="41" t="s">
        <v>441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  <c r="O11" s="44">
        <v>0</v>
      </c>
      <c r="P11" s="44">
        <v>0</v>
      </c>
      <c r="Q11" s="44">
        <v>0</v>
      </c>
      <c r="R11" s="44">
        <v>0</v>
      </c>
      <c r="S11" s="44">
        <v>0</v>
      </c>
      <c r="T11" s="41">
        <v>1</v>
      </c>
    </row>
    <row r="12" spans="1:20" ht="15" customHeight="1" x14ac:dyDescent="0.4">
      <c r="A12" s="42" t="s">
        <v>442</v>
      </c>
      <c r="B12" s="41" t="s">
        <v>443</v>
      </c>
      <c r="C12" s="44">
        <v>0</v>
      </c>
      <c r="D12" s="44">
        <v>0</v>
      </c>
      <c r="E12" s="44">
        <v>0</v>
      </c>
      <c r="F12" s="44">
        <v>0</v>
      </c>
      <c r="G12" s="44">
        <v>0</v>
      </c>
      <c r="H12" s="44">
        <v>0</v>
      </c>
      <c r="I12" s="44">
        <v>0</v>
      </c>
      <c r="J12" s="44">
        <v>0</v>
      </c>
      <c r="K12" s="44">
        <v>0</v>
      </c>
      <c r="L12" s="44">
        <v>0</v>
      </c>
      <c r="M12" s="44">
        <v>0</v>
      </c>
      <c r="N12" s="44">
        <v>0</v>
      </c>
      <c r="O12" s="44">
        <v>0</v>
      </c>
      <c r="P12" s="44">
        <v>0</v>
      </c>
      <c r="Q12" s="44">
        <v>0</v>
      </c>
      <c r="R12" s="44">
        <v>0</v>
      </c>
      <c r="S12" s="44">
        <v>0</v>
      </c>
      <c r="T12" s="41">
        <v>1</v>
      </c>
    </row>
    <row r="13" spans="1:20" ht="15" customHeight="1" x14ac:dyDescent="0.4">
      <c r="A13" s="42" t="s">
        <v>444</v>
      </c>
      <c r="B13" s="41" t="s">
        <v>748</v>
      </c>
      <c r="C13" s="44">
        <v>0</v>
      </c>
      <c r="D13" s="44">
        <v>0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44">
        <v>0</v>
      </c>
      <c r="K13" s="44">
        <v>0</v>
      </c>
      <c r="L13" s="44">
        <v>0</v>
      </c>
      <c r="M13" s="44">
        <v>0</v>
      </c>
      <c r="N13" s="44">
        <v>0</v>
      </c>
      <c r="O13" s="44">
        <v>0</v>
      </c>
      <c r="P13" s="44">
        <v>0</v>
      </c>
      <c r="Q13" s="44">
        <v>0</v>
      </c>
      <c r="R13" s="44">
        <v>0</v>
      </c>
      <c r="S13" s="44">
        <v>0</v>
      </c>
      <c r="T13" s="41">
        <v>1</v>
      </c>
    </row>
    <row r="14" spans="1:20" ht="15" customHeight="1" x14ac:dyDescent="0.4">
      <c r="A14" s="42" t="s">
        <v>446</v>
      </c>
      <c r="B14" s="41" t="s">
        <v>447</v>
      </c>
      <c r="C14" s="44">
        <v>0</v>
      </c>
      <c r="D14" s="44">
        <v>0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44">
        <v>0</v>
      </c>
      <c r="K14" s="44">
        <v>0</v>
      </c>
      <c r="L14" s="44">
        <v>0</v>
      </c>
      <c r="M14" s="44">
        <v>0</v>
      </c>
      <c r="N14" s="44">
        <v>0</v>
      </c>
      <c r="O14" s="44">
        <v>0</v>
      </c>
      <c r="P14" s="44">
        <v>0</v>
      </c>
      <c r="Q14" s="44">
        <v>0</v>
      </c>
      <c r="R14" s="44">
        <v>0</v>
      </c>
      <c r="S14" s="44">
        <v>0</v>
      </c>
      <c r="T14" s="41">
        <v>1</v>
      </c>
    </row>
    <row r="15" spans="1:20" ht="15" customHeight="1" x14ac:dyDescent="0.4">
      <c r="A15" s="42" t="s">
        <v>448</v>
      </c>
      <c r="B15" s="41" t="s">
        <v>449</v>
      </c>
      <c r="C15" s="44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44">
        <v>0</v>
      </c>
      <c r="M15" s="44">
        <v>0</v>
      </c>
      <c r="N15" s="44">
        <v>0</v>
      </c>
      <c r="O15" s="44">
        <v>0</v>
      </c>
      <c r="P15" s="44">
        <v>0</v>
      </c>
      <c r="Q15" s="44">
        <v>0</v>
      </c>
      <c r="R15" s="44">
        <v>0</v>
      </c>
      <c r="S15" s="44">
        <v>0</v>
      </c>
      <c r="T15" s="41">
        <v>1</v>
      </c>
    </row>
    <row r="16" spans="1:20" ht="15" customHeight="1" x14ac:dyDescent="0.4">
      <c r="A16" s="42" t="s">
        <v>450</v>
      </c>
      <c r="B16" s="41" t="s">
        <v>451</v>
      </c>
      <c r="C16" s="44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0</v>
      </c>
      <c r="O16" s="44">
        <v>0</v>
      </c>
      <c r="P16" s="44">
        <v>0</v>
      </c>
      <c r="Q16" s="44">
        <v>0</v>
      </c>
      <c r="R16" s="44">
        <v>0</v>
      </c>
      <c r="S16" s="44">
        <v>0</v>
      </c>
      <c r="T16" s="41">
        <v>1</v>
      </c>
    </row>
    <row r="17" spans="1:20" ht="15" customHeight="1" x14ac:dyDescent="0.4">
      <c r="A17" s="42" t="s">
        <v>737</v>
      </c>
      <c r="B17" s="41" t="s">
        <v>738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1">
        <v>1</v>
      </c>
    </row>
    <row r="18" spans="1:20" ht="15" customHeight="1" x14ac:dyDescent="0.4">
      <c r="A18" s="42" t="s">
        <v>452</v>
      </c>
      <c r="B18" s="41" t="s">
        <v>453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1">
        <v>1</v>
      </c>
    </row>
    <row r="19" spans="1:20" ht="15" customHeight="1" x14ac:dyDescent="0.4">
      <c r="A19" s="37" t="s">
        <v>454</v>
      </c>
      <c r="B19" s="38" t="s">
        <v>455</v>
      </c>
      <c r="C19" s="39">
        <v>2150431029.5</v>
      </c>
      <c r="D19" s="39">
        <v>9597652665</v>
      </c>
      <c r="E19" s="39">
        <v>56469476069</v>
      </c>
      <c r="F19" s="39">
        <v>4568657006</v>
      </c>
      <c r="G19" s="39">
        <v>3487231197</v>
      </c>
      <c r="H19" s="39">
        <v>3041705372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  <c r="N19" s="40">
        <v>0</v>
      </c>
      <c r="O19" s="40">
        <v>0</v>
      </c>
      <c r="P19" s="40">
        <v>0</v>
      </c>
      <c r="Q19" s="40">
        <v>0</v>
      </c>
      <c r="R19" s="39">
        <v>11097593575</v>
      </c>
      <c r="S19" s="39">
        <v>1499940910</v>
      </c>
      <c r="T19" s="41">
        <v>2</v>
      </c>
    </row>
    <row r="20" spans="1:20" ht="15" customHeight="1" x14ac:dyDescent="0.4">
      <c r="A20" s="37" t="s">
        <v>456</v>
      </c>
      <c r="B20" s="38" t="s">
        <v>457</v>
      </c>
      <c r="C20" s="39">
        <v>2150431029.5</v>
      </c>
      <c r="D20" s="39">
        <v>9597652665</v>
      </c>
      <c r="E20" s="39">
        <v>56469476069</v>
      </c>
      <c r="F20" s="39">
        <v>4568657006</v>
      </c>
      <c r="G20" s="39">
        <v>3487231197</v>
      </c>
      <c r="H20" s="39">
        <v>3041705372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0">
        <v>0</v>
      </c>
      <c r="O20" s="40">
        <v>0</v>
      </c>
      <c r="P20" s="40">
        <v>0</v>
      </c>
      <c r="Q20" s="40">
        <v>0</v>
      </c>
      <c r="R20" s="39">
        <v>11097593575</v>
      </c>
      <c r="S20" s="39">
        <v>1499940910</v>
      </c>
      <c r="T20" s="41">
        <v>2</v>
      </c>
    </row>
    <row r="21" spans="1:20" ht="15" customHeight="1" x14ac:dyDescent="0.4">
      <c r="A21" s="42" t="s">
        <v>458</v>
      </c>
      <c r="B21" s="41" t="s">
        <v>459</v>
      </c>
      <c r="C21" s="43">
        <v>48359955</v>
      </c>
      <c r="D21" s="43">
        <v>-9112346</v>
      </c>
      <c r="E21" s="43">
        <v>1442674477.5</v>
      </c>
      <c r="F21" s="43">
        <v>236595750</v>
      </c>
      <c r="G21" s="43">
        <v>230191904</v>
      </c>
      <c r="H21" s="43">
        <v>385936234</v>
      </c>
      <c r="I21" s="44">
        <v>0</v>
      </c>
      <c r="J21" s="44">
        <v>0</v>
      </c>
      <c r="K21" s="44">
        <v>0</v>
      </c>
      <c r="L21" s="44">
        <v>0</v>
      </c>
      <c r="M21" s="44">
        <v>0</v>
      </c>
      <c r="N21" s="44">
        <v>0</v>
      </c>
      <c r="O21" s="44">
        <v>0</v>
      </c>
      <c r="P21" s="44">
        <v>0</v>
      </c>
      <c r="Q21" s="44">
        <v>0</v>
      </c>
      <c r="R21" s="43">
        <v>852723888</v>
      </c>
      <c r="S21" s="43">
        <v>861836234</v>
      </c>
      <c r="T21" s="41">
        <v>1</v>
      </c>
    </row>
    <row r="22" spans="1:20" ht="15" customHeight="1" x14ac:dyDescent="0.4">
      <c r="A22" s="42" t="s">
        <v>460</v>
      </c>
      <c r="B22" s="41" t="s">
        <v>461</v>
      </c>
      <c r="C22" s="43">
        <v>1921536329.5</v>
      </c>
      <c r="D22" s="43">
        <v>9280422037</v>
      </c>
      <c r="E22" s="43">
        <v>54275412543.5</v>
      </c>
      <c r="F22" s="43">
        <v>4354008914</v>
      </c>
      <c r="G22" s="43">
        <v>3221657226</v>
      </c>
      <c r="H22" s="43">
        <v>2639900203</v>
      </c>
      <c r="I22" s="44">
        <v>0</v>
      </c>
      <c r="J22" s="44">
        <v>0</v>
      </c>
      <c r="K22" s="44">
        <v>0</v>
      </c>
      <c r="L22" s="44">
        <v>0</v>
      </c>
      <c r="M22" s="44">
        <v>0</v>
      </c>
      <c r="N22" s="44">
        <v>0</v>
      </c>
      <c r="O22" s="44">
        <v>0</v>
      </c>
      <c r="P22" s="44">
        <v>0</v>
      </c>
      <c r="Q22" s="44">
        <v>0</v>
      </c>
      <c r="R22" s="43">
        <v>10215566343</v>
      </c>
      <c r="S22" s="43">
        <v>935144306</v>
      </c>
      <c r="T22" s="41">
        <v>1</v>
      </c>
    </row>
    <row r="23" spans="1:20" ht="15" customHeight="1" x14ac:dyDescent="0.4">
      <c r="A23" s="42" t="s">
        <v>462</v>
      </c>
      <c r="B23" s="41" t="s">
        <v>463</v>
      </c>
      <c r="C23" s="43">
        <v>129302704</v>
      </c>
      <c r="D23" s="43">
        <v>277342974</v>
      </c>
      <c r="E23" s="43">
        <v>508176895</v>
      </c>
      <c r="F23" s="43">
        <v>-22413262</v>
      </c>
      <c r="G23" s="43">
        <v>34886466</v>
      </c>
      <c r="H23" s="43">
        <v>16770483</v>
      </c>
      <c r="I23" s="44">
        <v>0</v>
      </c>
      <c r="J23" s="44">
        <v>0</v>
      </c>
      <c r="K23" s="44">
        <v>0</v>
      </c>
      <c r="L23" s="44">
        <v>0</v>
      </c>
      <c r="M23" s="44">
        <v>0</v>
      </c>
      <c r="N23" s="44">
        <v>0</v>
      </c>
      <c r="O23" s="44">
        <v>0</v>
      </c>
      <c r="P23" s="44">
        <v>0</v>
      </c>
      <c r="Q23" s="44">
        <v>0</v>
      </c>
      <c r="R23" s="43">
        <v>29243687</v>
      </c>
      <c r="S23" s="43">
        <v>-248099287</v>
      </c>
      <c r="T23" s="41">
        <v>1</v>
      </c>
    </row>
    <row r="24" spans="1:20" ht="15" customHeight="1" x14ac:dyDescent="0.4">
      <c r="A24" s="42" t="s">
        <v>464</v>
      </c>
      <c r="B24" s="41" t="s">
        <v>465</v>
      </c>
      <c r="C24" s="43">
        <v>51232041</v>
      </c>
      <c r="D24" s="43">
        <v>49000000</v>
      </c>
      <c r="E24" s="43">
        <v>233620800</v>
      </c>
      <c r="F24" s="44">
        <v>0</v>
      </c>
      <c r="G24" s="43">
        <v>379200</v>
      </c>
      <c r="H24" s="43">
        <v>-379200</v>
      </c>
      <c r="I24" s="44">
        <v>0</v>
      </c>
      <c r="J24" s="44">
        <v>0</v>
      </c>
      <c r="K24" s="44">
        <v>0</v>
      </c>
      <c r="L24" s="44">
        <v>0</v>
      </c>
      <c r="M24" s="44">
        <v>0</v>
      </c>
      <c r="N24" s="44">
        <v>0</v>
      </c>
      <c r="O24" s="44">
        <v>0</v>
      </c>
      <c r="P24" s="44">
        <v>0</v>
      </c>
      <c r="Q24" s="44">
        <v>0</v>
      </c>
      <c r="R24" s="44">
        <v>0</v>
      </c>
      <c r="S24" s="43">
        <v>-49000000</v>
      </c>
      <c r="T24" s="41">
        <v>1</v>
      </c>
    </row>
    <row r="25" spans="1:20" ht="15" customHeight="1" x14ac:dyDescent="0.4">
      <c r="A25" s="42" t="s">
        <v>466</v>
      </c>
      <c r="B25" s="41" t="s">
        <v>467</v>
      </c>
      <c r="C25" s="44">
        <v>0</v>
      </c>
      <c r="D25" s="44">
        <v>0</v>
      </c>
      <c r="E25" s="43">
        <v>9591353</v>
      </c>
      <c r="F25" s="43">
        <v>465604</v>
      </c>
      <c r="G25" s="43">
        <v>116401</v>
      </c>
      <c r="H25" s="43">
        <v>-522348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3">
        <v>59657</v>
      </c>
      <c r="S25" s="43">
        <v>59657</v>
      </c>
      <c r="T25" s="41">
        <v>1</v>
      </c>
    </row>
    <row r="26" spans="1:20" ht="15" customHeight="1" x14ac:dyDescent="0.4">
      <c r="A26" s="42" t="s">
        <v>468</v>
      </c>
      <c r="B26" s="41" t="s">
        <v>469</v>
      </c>
      <c r="C26" s="44">
        <v>0</v>
      </c>
      <c r="D26" s="44">
        <v>0</v>
      </c>
      <c r="E26" s="44">
        <v>0</v>
      </c>
      <c r="F26" s="44">
        <v>0</v>
      </c>
      <c r="G26" s="44">
        <v>0</v>
      </c>
      <c r="H26" s="44">
        <v>0</v>
      </c>
      <c r="I26" s="44">
        <v>0</v>
      </c>
      <c r="J26" s="44">
        <v>0</v>
      </c>
      <c r="K26" s="44">
        <v>0</v>
      </c>
      <c r="L26" s="44">
        <v>0</v>
      </c>
      <c r="M26" s="44">
        <v>0</v>
      </c>
      <c r="N26" s="44">
        <v>0</v>
      </c>
      <c r="O26" s="44">
        <v>0</v>
      </c>
      <c r="P26" s="44">
        <v>0</v>
      </c>
      <c r="Q26" s="44">
        <v>0</v>
      </c>
      <c r="R26" s="44">
        <v>0</v>
      </c>
      <c r="S26" s="44">
        <v>0</v>
      </c>
      <c r="T26" s="41">
        <v>1</v>
      </c>
    </row>
    <row r="27" spans="1:20" ht="15" customHeight="1" x14ac:dyDescent="0.4">
      <c r="A27" s="42" t="s">
        <v>470</v>
      </c>
      <c r="B27" s="41" t="s">
        <v>471</v>
      </c>
      <c r="C27" s="44">
        <v>0</v>
      </c>
      <c r="D27" s="44">
        <v>0</v>
      </c>
      <c r="E27" s="44">
        <v>0</v>
      </c>
      <c r="F27" s="44">
        <v>0</v>
      </c>
      <c r="G27" s="44">
        <v>0</v>
      </c>
      <c r="H27" s="44">
        <v>0</v>
      </c>
      <c r="I27" s="44">
        <v>0</v>
      </c>
      <c r="J27" s="44">
        <v>0</v>
      </c>
      <c r="K27" s="44">
        <v>0</v>
      </c>
      <c r="L27" s="44">
        <v>0</v>
      </c>
      <c r="M27" s="44">
        <v>0</v>
      </c>
      <c r="N27" s="44">
        <v>0</v>
      </c>
      <c r="O27" s="44">
        <v>0</v>
      </c>
      <c r="P27" s="44">
        <v>0</v>
      </c>
      <c r="Q27" s="44">
        <v>0</v>
      </c>
      <c r="R27" s="44">
        <v>0</v>
      </c>
      <c r="S27" s="44">
        <v>0</v>
      </c>
      <c r="T27" s="41">
        <v>1</v>
      </c>
    </row>
    <row r="28" spans="1:20" ht="15" customHeight="1" x14ac:dyDescent="0.4">
      <c r="A28" s="42" t="s">
        <v>472</v>
      </c>
      <c r="B28" s="41" t="s">
        <v>473</v>
      </c>
      <c r="C28" s="44">
        <v>0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v>0</v>
      </c>
      <c r="L28" s="44">
        <v>0</v>
      </c>
      <c r="M28" s="44">
        <v>0</v>
      </c>
      <c r="N28" s="44">
        <v>0</v>
      </c>
      <c r="O28" s="44">
        <v>0</v>
      </c>
      <c r="P28" s="44">
        <v>0</v>
      </c>
      <c r="Q28" s="44">
        <v>0</v>
      </c>
      <c r="R28" s="44">
        <v>0</v>
      </c>
      <c r="S28" s="44">
        <v>0</v>
      </c>
      <c r="T28" s="41">
        <v>1</v>
      </c>
    </row>
    <row r="29" spans="1:20" ht="15" customHeight="1" x14ac:dyDescent="0.4">
      <c r="A29" s="42" t="s">
        <v>474</v>
      </c>
      <c r="B29" s="41" t="s">
        <v>475</v>
      </c>
      <c r="C29" s="44">
        <v>0</v>
      </c>
      <c r="D29" s="44">
        <v>0</v>
      </c>
      <c r="E29" s="44">
        <v>0</v>
      </c>
      <c r="F29" s="44">
        <v>0</v>
      </c>
      <c r="G29" s="44">
        <v>0</v>
      </c>
      <c r="H29" s="44">
        <v>0</v>
      </c>
      <c r="I29" s="44">
        <v>0</v>
      </c>
      <c r="J29" s="44">
        <v>0</v>
      </c>
      <c r="K29" s="44">
        <v>0</v>
      </c>
      <c r="L29" s="44">
        <v>0</v>
      </c>
      <c r="M29" s="44">
        <v>0</v>
      </c>
      <c r="N29" s="44">
        <v>0</v>
      </c>
      <c r="O29" s="44">
        <v>0</v>
      </c>
      <c r="P29" s="44">
        <v>0</v>
      </c>
      <c r="Q29" s="44">
        <v>0</v>
      </c>
      <c r="R29" s="44">
        <v>0</v>
      </c>
      <c r="S29" s="44">
        <v>0</v>
      </c>
      <c r="T29" s="41">
        <v>1</v>
      </c>
    </row>
    <row r="30" spans="1:20" ht="15" customHeight="1" x14ac:dyDescent="0.4">
      <c r="A30" s="42" t="s">
        <v>476</v>
      </c>
      <c r="B30" s="41" t="s">
        <v>477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1">
        <v>1</v>
      </c>
    </row>
    <row r="31" spans="1:20" ht="15" customHeight="1" x14ac:dyDescent="0.4">
      <c r="A31" s="42" t="s">
        <v>478</v>
      </c>
      <c r="B31" s="41" t="s">
        <v>479</v>
      </c>
      <c r="C31" s="44">
        <v>0</v>
      </c>
      <c r="D31" s="44">
        <v>0</v>
      </c>
      <c r="E31" s="44">
        <v>0</v>
      </c>
      <c r="F31" s="44">
        <v>0</v>
      </c>
      <c r="G31" s="44">
        <v>0</v>
      </c>
      <c r="H31" s="44">
        <v>0</v>
      </c>
      <c r="I31" s="44">
        <v>0</v>
      </c>
      <c r="J31" s="44">
        <v>0</v>
      </c>
      <c r="K31" s="44">
        <v>0</v>
      </c>
      <c r="L31" s="44">
        <v>0</v>
      </c>
      <c r="M31" s="44">
        <v>0</v>
      </c>
      <c r="N31" s="44">
        <v>0</v>
      </c>
      <c r="O31" s="44">
        <v>0</v>
      </c>
      <c r="P31" s="44">
        <v>0</v>
      </c>
      <c r="Q31" s="44">
        <v>0</v>
      </c>
      <c r="R31" s="44">
        <v>0</v>
      </c>
      <c r="S31" s="44">
        <v>0</v>
      </c>
      <c r="T31" s="41">
        <v>1</v>
      </c>
    </row>
    <row r="32" spans="1:20" ht="15" customHeight="1" x14ac:dyDescent="0.4">
      <c r="A32" s="42" t="s">
        <v>480</v>
      </c>
      <c r="B32" s="41" t="s">
        <v>481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v>0</v>
      </c>
      <c r="L32" s="44">
        <v>0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44">
        <v>0</v>
      </c>
      <c r="S32" s="44">
        <v>0</v>
      </c>
      <c r="T32" s="41">
        <v>1</v>
      </c>
    </row>
    <row r="33" spans="1:20" ht="15" customHeight="1" x14ac:dyDescent="0.4">
      <c r="A33" s="42" t="s">
        <v>482</v>
      </c>
      <c r="B33" s="41" t="s">
        <v>483</v>
      </c>
      <c r="C33" s="44">
        <v>0</v>
      </c>
      <c r="D33" s="44">
        <v>0</v>
      </c>
      <c r="E33" s="44">
        <v>0</v>
      </c>
      <c r="F33" s="44">
        <v>0</v>
      </c>
      <c r="G33" s="44">
        <v>0</v>
      </c>
      <c r="H33" s="44">
        <v>0</v>
      </c>
      <c r="I33" s="44">
        <v>0</v>
      </c>
      <c r="J33" s="44">
        <v>0</v>
      </c>
      <c r="K33" s="44">
        <v>0</v>
      </c>
      <c r="L33" s="44">
        <v>0</v>
      </c>
      <c r="M33" s="44">
        <v>0</v>
      </c>
      <c r="N33" s="44">
        <v>0</v>
      </c>
      <c r="O33" s="44">
        <v>0</v>
      </c>
      <c r="P33" s="44">
        <v>0</v>
      </c>
      <c r="Q33" s="44">
        <v>0</v>
      </c>
      <c r="R33" s="44">
        <v>0</v>
      </c>
      <c r="S33" s="44">
        <v>0</v>
      </c>
      <c r="T33" s="41">
        <v>1</v>
      </c>
    </row>
    <row r="34" spans="1:20" ht="15" customHeight="1" x14ac:dyDescent="0.4">
      <c r="A34" s="42" t="s">
        <v>739</v>
      </c>
      <c r="B34" s="41" t="s">
        <v>740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41">
        <v>1</v>
      </c>
    </row>
    <row r="35" spans="1:20" ht="15" customHeight="1" x14ac:dyDescent="0.4">
      <c r="A35" s="42" t="s">
        <v>484</v>
      </c>
      <c r="B35" s="41" t="s">
        <v>485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1">
        <v>1</v>
      </c>
    </row>
    <row r="36" spans="1:20" ht="15" customHeight="1" x14ac:dyDescent="0.4">
      <c r="A36" s="37" t="s">
        <v>486</v>
      </c>
      <c r="B36" s="38" t="s">
        <v>487</v>
      </c>
      <c r="C36" s="39">
        <v>564527308.41999996</v>
      </c>
      <c r="D36" s="39">
        <v>4040189102.8000002</v>
      </c>
      <c r="E36" s="39">
        <v>20161080480.220001</v>
      </c>
      <c r="F36" s="39">
        <v>1947685634.1300001</v>
      </c>
      <c r="G36" s="39">
        <v>1878759590.6900001</v>
      </c>
      <c r="H36" s="39">
        <v>1509643077.5899999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  <c r="R36" s="39">
        <v>5336088302.4099998</v>
      </c>
      <c r="S36" s="39">
        <v>1295899199.6099999</v>
      </c>
      <c r="T36" s="41">
        <v>2</v>
      </c>
    </row>
    <row r="37" spans="1:20" ht="15" customHeight="1" x14ac:dyDescent="0.4">
      <c r="A37" s="37" t="s">
        <v>488</v>
      </c>
      <c r="B37" s="38" t="s">
        <v>749</v>
      </c>
      <c r="C37" s="39">
        <v>2526719608.4299998</v>
      </c>
      <c r="D37" s="39">
        <v>6256555793.6300001</v>
      </c>
      <c r="E37" s="39">
        <v>23399690007.560001</v>
      </c>
      <c r="F37" s="39">
        <v>1730193500.2</v>
      </c>
      <c r="G37" s="39">
        <v>1873676717.6800001</v>
      </c>
      <c r="H37" s="39">
        <v>1721112014.22</v>
      </c>
      <c r="I37" s="40">
        <v>0</v>
      </c>
      <c r="J37" s="40">
        <v>0</v>
      </c>
      <c r="K37" s="40">
        <v>0</v>
      </c>
      <c r="L37" s="40">
        <v>0</v>
      </c>
      <c r="M37" s="40">
        <v>0</v>
      </c>
      <c r="N37" s="40">
        <v>0</v>
      </c>
      <c r="O37" s="40">
        <v>0</v>
      </c>
      <c r="P37" s="40">
        <v>0</v>
      </c>
      <c r="Q37" s="40">
        <v>0</v>
      </c>
      <c r="R37" s="39">
        <v>5324982232.1000004</v>
      </c>
      <c r="S37" s="39">
        <v>-931573561.52999997</v>
      </c>
      <c r="T37" s="41">
        <v>2</v>
      </c>
    </row>
    <row r="38" spans="1:20" ht="15" customHeight="1" x14ac:dyDescent="0.4">
      <c r="A38" s="42" t="s">
        <v>490</v>
      </c>
      <c r="B38" s="41" t="s">
        <v>491</v>
      </c>
      <c r="C38" s="43">
        <v>1533875611.6099999</v>
      </c>
      <c r="D38" s="43">
        <v>4066385252.9400001</v>
      </c>
      <c r="E38" s="43">
        <v>15853887220.459999</v>
      </c>
      <c r="F38" s="43">
        <v>481630012.10000002</v>
      </c>
      <c r="G38" s="43">
        <v>588665043.72000003</v>
      </c>
      <c r="H38" s="43">
        <v>416361263.38999999</v>
      </c>
      <c r="I38" s="44">
        <v>0</v>
      </c>
      <c r="J38" s="44">
        <v>0</v>
      </c>
      <c r="K38" s="44">
        <v>0</v>
      </c>
      <c r="L38" s="44">
        <v>0</v>
      </c>
      <c r="M38" s="44">
        <v>0</v>
      </c>
      <c r="N38" s="44">
        <v>0</v>
      </c>
      <c r="O38" s="44">
        <v>0</v>
      </c>
      <c r="P38" s="44">
        <v>0</v>
      </c>
      <c r="Q38" s="44">
        <v>0</v>
      </c>
      <c r="R38" s="43">
        <v>1486656319.21</v>
      </c>
      <c r="S38" s="43">
        <v>-2579728933.73</v>
      </c>
      <c r="T38" s="41">
        <v>1</v>
      </c>
    </row>
    <row r="39" spans="1:20" ht="15" customHeight="1" x14ac:dyDescent="0.4">
      <c r="A39" s="42" t="s">
        <v>492</v>
      </c>
      <c r="B39" s="41" t="s">
        <v>493</v>
      </c>
      <c r="C39" s="44">
        <v>0</v>
      </c>
      <c r="D39" s="44">
        <v>0</v>
      </c>
      <c r="E39" s="43">
        <v>199334079</v>
      </c>
      <c r="F39" s="43">
        <v>904080428.71000004</v>
      </c>
      <c r="G39" s="43">
        <v>870336369.04999995</v>
      </c>
      <c r="H39" s="43">
        <v>934546884.02999997</v>
      </c>
      <c r="I39" s="44">
        <v>0</v>
      </c>
      <c r="J39" s="44">
        <v>0</v>
      </c>
      <c r="K39" s="44">
        <v>0</v>
      </c>
      <c r="L39" s="44">
        <v>0</v>
      </c>
      <c r="M39" s="44">
        <v>0</v>
      </c>
      <c r="N39" s="44">
        <v>0</v>
      </c>
      <c r="O39" s="44">
        <v>0</v>
      </c>
      <c r="P39" s="44">
        <v>0</v>
      </c>
      <c r="Q39" s="44">
        <v>0</v>
      </c>
      <c r="R39" s="43">
        <v>2708963681.79</v>
      </c>
      <c r="S39" s="43">
        <v>2708963681.79</v>
      </c>
      <c r="T39" s="41">
        <v>1</v>
      </c>
    </row>
    <row r="40" spans="1:20" ht="15" customHeight="1" x14ac:dyDescent="0.4">
      <c r="A40" s="42" t="s">
        <v>494</v>
      </c>
      <c r="B40" s="41" t="s">
        <v>495</v>
      </c>
      <c r="C40" s="44">
        <v>0</v>
      </c>
      <c r="D40" s="44">
        <v>0</v>
      </c>
      <c r="E40" s="44">
        <v>0</v>
      </c>
      <c r="F40" s="44">
        <v>0</v>
      </c>
      <c r="G40" s="44">
        <v>0</v>
      </c>
      <c r="H40" s="44">
        <v>0</v>
      </c>
      <c r="I40" s="44">
        <v>0</v>
      </c>
      <c r="J40" s="44">
        <v>0</v>
      </c>
      <c r="K40" s="44">
        <v>0</v>
      </c>
      <c r="L40" s="44">
        <v>0</v>
      </c>
      <c r="M40" s="44">
        <v>0</v>
      </c>
      <c r="N40" s="44">
        <v>0</v>
      </c>
      <c r="O40" s="44">
        <v>0</v>
      </c>
      <c r="P40" s="44">
        <v>0</v>
      </c>
      <c r="Q40" s="44">
        <v>0</v>
      </c>
      <c r="R40" s="44">
        <v>0</v>
      </c>
      <c r="S40" s="44">
        <v>0</v>
      </c>
      <c r="T40" s="41">
        <v>1</v>
      </c>
    </row>
    <row r="41" spans="1:20" ht="15" customHeight="1" x14ac:dyDescent="0.4">
      <c r="A41" s="42" t="s">
        <v>741</v>
      </c>
      <c r="B41" s="41" t="s">
        <v>742</v>
      </c>
      <c r="C41" s="44">
        <v>0</v>
      </c>
      <c r="D41" s="44">
        <v>0</v>
      </c>
      <c r="E41" s="44">
        <v>0</v>
      </c>
      <c r="F41" s="44">
        <v>0</v>
      </c>
      <c r="G41" s="44">
        <v>0</v>
      </c>
      <c r="H41" s="44">
        <v>0</v>
      </c>
      <c r="I41" s="44">
        <v>0</v>
      </c>
      <c r="J41" s="44">
        <v>0</v>
      </c>
      <c r="K41" s="44">
        <v>0</v>
      </c>
      <c r="L41" s="44">
        <v>0</v>
      </c>
      <c r="M41" s="44">
        <v>0</v>
      </c>
      <c r="N41" s="44">
        <v>0</v>
      </c>
      <c r="O41" s="44">
        <v>0</v>
      </c>
      <c r="P41" s="44">
        <v>0</v>
      </c>
      <c r="Q41" s="44">
        <v>0</v>
      </c>
      <c r="R41" s="44">
        <v>0</v>
      </c>
      <c r="S41" s="44">
        <v>0</v>
      </c>
      <c r="T41" s="41">
        <v>1</v>
      </c>
    </row>
    <row r="42" spans="1:20" ht="15" customHeight="1" x14ac:dyDescent="0.4">
      <c r="A42" s="42" t="s">
        <v>496</v>
      </c>
      <c r="B42" s="41" t="s">
        <v>497</v>
      </c>
      <c r="C42" s="44">
        <v>0</v>
      </c>
      <c r="D42" s="44">
        <v>0</v>
      </c>
      <c r="E42" s="44">
        <v>0</v>
      </c>
      <c r="F42" s="44">
        <v>0</v>
      </c>
      <c r="G42" s="44">
        <v>0</v>
      </c>
      <c r="H42" s="44">
        <v>0</v>
      </c>
      <c r="I42" s="44">
        <v>0</v>
      </c>
      <c r="J42" s="44">
        <v>0</v>
      </c>
      <c r="K42" s="44">
        <v>0</v>
      </c>
      <c r="L42" s="44">
        <v>0</v>
      </c>
      <c r="M42" s="44">
        <v>0</v>
      </c>
      <c r="N42" s="44">
        <v>0</v>
      </c>
      <c r="O42" s="44">
        <v>0</v>
      </c>
      <c r="P42" s="44">
        <v>0</v>
      </c>
      <c r="Q42" s="44">
        <v>0</v>
      </c>
      <c r="R42" s="44">
        <v>0</v>
      </c>
      <c r="S42" s="44">
        <v>0</v>
      </c>
      <c r="T42" s="41">
        <v>1</v>
      </c>
    </row>
    <row r="43" spans="1:20" ht="15" customHeight="1" x14ac:dyDescent="0.4">
      <c r="A43" s="42" t="s">
        <v>498</v>
      </c>
      <c r="B43" s="41" t="s">
        <v>499</v>
      </c>
      <c r="C43" s="43">
        <v>175382444.96000001</v>
      </c>
      <c r="D43" s="43">
        <v>552555875.15999997</v>
      </c>
      <c r="E43" s="43">
        <v>2109428234.3099999</v>
      </c>
      <c r="F43" s="43">
        <v>66828707.450000003</v>
      </c>
      <c r="G43" s="43">
        <v>78390953.140000001</v>
      </c>
      <c r="H43" s="43">
        <v>87905163.329999998</v>
      </c>
      <c r="I43" s="44">
        <v>0</v>
      </c>
      <c r="J43" s="44">
        <v>0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3">
        <v>233124823.91999999</v>
      </c>
      <c r="S43" s="43">
        <v>-319431051.24000001</v>
      </c>
      <c r="T43" s="41">
        <v>1</v>
      </c>
    </row>
    <row r="44" spans="1:20" ht="15" customHeight="1" x14ac:dyDescent="0.4">
      <c r="A44" s="42" t="s">
        <v>500</v>
      </c>
      <c r="B44" s="41" t="s">
        <v>501</v>
      </c>
      <c r="C44" s="44">
        <v>0</v>
      </c>
      <c r="D44" s="44">
        <v>0</v>
      </c>
      <c r="E44" s="44">
        <v>0</v>
      </c>
      <c r="F44" s="44">
        <v>0</v>
      </c>
      <c r="G44" s="44">
        <v>0</v>
      </c>
      <c r="H44" s="44">
        <v>0</v>
      </c>
      <c r="I44" s="44">
        <v>0</v>
      </c>
      <c r="J44" s="44">
        <v>0</v>
      </c>
      <c r="K44" s="44">
        <v>0</v>
      </c>
      <c r="L44" s="44">
        <v>0</v>
      </c>
      <c r="M44" s="44">
        <v>0</v>
      </c>
      <c r="N44" s="44">
        <v>0</v>
      </c>
      <c r="O44" s="44">
        <v>0</v>
      </c>
      <c r="P44" s="44">
        <v>0</v>
      </c>
      <c r="Q44" s="44">
        <v>0</v>
      </c>
      <c r="R44" s="44">
        <v>0</v>
      </c>
      <c r="S44" s="44">
        <v>0</v>
      </c>
      <c r="T44" s="41">
        <v>1</v>
      </c>
    </row>
    <row r="45" spans="1:20" ht="15" customHeight="1" x14ac:dyDescent="0.4">
      <c r="A45" s="42" t="s">
        <v>502</v>
      </c>
      <c r="B45" s="41" t="s">
        <v>503</v>
      </c>
      <c r="C45" s="44">
        <v>0</v>
      </c>
      <c r="D45" s="44">
        <v>0</v>
      </c>
      <c r="E45" s="43">
        <v>281251040.68000001</v>
      </c>
      <c r="F45" s="43">
        <v>7864408.4299999997</v>
      </c>
      <c r="G45" s="43">
        <v>33334871.57</v>
      </c>
      <c r="H45" s="43">
        <v>19531863.5</v>
      </c>
      <c r="I45" s="44">
        <v>0</v>
      </c>
      <c r="J45" s="44">
        <v>0</v>
      </c>
      <c r="K45" s="44">
        <v>0</v>
      </c>
      <c r="L45" s="44">
        <v>0</v>
      </c>
      <c r="M45" s="44">
        <v>0</v>
      </c>
      <c r="N45" s="44">
        <v>0</v>
      </c>
      <c r="O45" s="44">
        <v>0</v>
      </c>
      <c r="P45" s="44">
        <v>0</v>
      </c>
      <c r="Q45" s="44">
        <v>0</v>
      </c>
      <c r="R45" s="43">
        <v>60731143.5</v>
      </c>
      <c r="S45" s="43">
        <v>60731143.5</v>
      </c>
      <c r="T45" s="41">
        <v>1</v>
      </c>
    </row>
    <row r="46" spans="1:20" ht="15" customHeight="1" x14ac:dyDescent="0.4">
      <c r="A46" s="42" t="s">
        <v>504</v>
      </c>
      <c r="B46" s="41" t="s">
        <v>505</v>
      </c>
      <c r="C46" s="44">
        <v>0</v>
      </c>
      <c r="D46" s="44">
        <v>0</v>
      </c>
      <c r="E46" s="44">
        <v>0</v>
      </c>
      <c r="F46" s="44">
        <v>0</v>
      </c>
      <c r="G46" s="44">
        <v>0</v>
      </c>
      <c r="H46" s="44">
        <v>0</v>
      </c>
      <c r="I46" s="44">
        <v>0</v>
      </c>
      <c r="J46" s="44">
        <v>0</v>
      </c>
      <c r="K46" s="44">
        <v>0</v>
      </c>
      <c r="L46" s="44">
        <v>0</v>
      </c>
      <c r="M46" s="44">
        <v>0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1">
        <v>1</v>
      </c>
    </row>
    <row r="47" spans="1:20" ht="15" customHeight="1" x14ac:dyDescent="0.4">
      <c r="A47" s="42" t="s">
        <v>506</v>
      </c>
      <c r="B47" s="41" t="s">
        <v>507</v>
      </c>
      <c r="C47" s="43">
        <v>8264008.6100000003</v>
      </c>
      <c r="D47" s="43">
        <v>30851101.23</v>
      </c>
      <c r="E47" s="43">
        <v>133302362.01000001</v>
      </c>
      <c r="F47" s="43">
        <v>4810928.4400000004</v>
      </c>
      <c r="G47" s="43">
        <v>7475892.75</v>
      </c>
      <c r="H47" s="43">
        <v>3591026.71</v>
      </c>
      <c r="I47" s="44">
        <v>0</v>
      </c>
      <c r="J47" s="44">
        <v>0</v>
      </c>
      <c r="K47" s="44">
        <v>0</v>
      </c>
      <c r="L47" s="44">
        <v>0</v>
      </c>
      <c r="M47" s="44">
        <v>0</v>
      </c>
      <c r="N47" s="44">
        <v>0</v>
      </c>
      <c r="O47" s="44">
        <v>0</v>
      </c>
      <c r="P47" s="44">
        <v>0</v>
      </c>
      <c r="Q47" s="44">
        <v>0</v>
      </c>
      <c r="R47" s="43">
        <v>15877847.9</v>
      </c>
      <c r="S47" s="43">
        <v>-14973253.33</v>
      </c>
      <c r="T47" s="41">
        <v>1</v>
      </c>
    </row>
    <row r="48" spans="1:20" ht="15" customHeight="1" x14ac:dyDescent="0.4">
      <c r="A48" s="42" t="s">
        <v>508</v>
      </c>
      <c r="B48" s="41" t="s">
        <v>509</v>
      </c>
      <c r="C48" s="44">
        <v>0</v>
      </c>
      <c r="D48" s="44">
        <v>0</v>
      </c>
      <c r="E48" s="44">
        <v>0</v>
      </c>
      <c r="F48" s="44">
        <v>0</v>
      </c>
      <c r="G48" s="44">
        <v>0</v>
      </c>
      <c r="H48" s="44">
        <v>0</v>
      </c>
      <c r="I48" s="44">
        <v>0</v>
      </c>
      <c r="J48" s="44">
        <v>0</v>
      </c>
      <c r="K48" s="44">
        <v>0</v>
      </c>
      <c r="L48" s="44">
        <v>0</v>
      </c>
      <c r="M48" s="44">
        <v>0</v>
      </c>
      <c r="N48" s="44">
        <v>0</v>
      </c>
      <c r="O48" s="44">
        <v>0</v>
      </c>
      <c r="P48" s="44">
        <v>0</v>
      </c>
      <c r="Q48" s="44">
        <v>0</v>
      </c>
      <c r="R48" s="44">
        <v>0</v>
      </c>
      <c r="S48" s="44">
        <v>0</v>
      </c>
      <c r="T48" s="41">
        <v>1</v>
      </c>
    </row>
    <row r="49" spans="1:20" ht="15" customHeight="1" x14ac:dyDescent="0.4">
      <c r="A49" s="42" t="s">
        <v>510</v>
      </c>
      <c r="B49" s="41" t="s">
        <v>511</v>
      </c>
      <c r="C49" s="43">
        <v>7124580</v>
      </c>
      <c r="D49" s="43">
        <v>30180332.140000001</v>
      </c>
      <c r="E49" s="43">
        <v>153614279.28</v>
      </c>
      <c r="F49" s="43">
        <v>13872117.140000001</v>
      </c>
      <c r="G49" s="43">
        <v>17082184.289999999</v>
      </c>
      <c r="H49" s="43">
        <v>9879561.4299999997</v>
      </c>
      <c r="I49" s="44">
        <v>0</v>
      </c>
      <c r="J49" s="44">
        <v>0</v>
      </c>
      <c r="K49" s="44">
        <v>0</v>
      </c>
      <c r="L49" s="44">
        <v>0</v>
      </c>
      <c r="M49" s="44">
        <v>0</v>
      </c>
      <c r="N49" s="44">
        <v>0</v>
      </c>
      <c r="O49" s="44">
        <v>0</v>
      </c>
      <c r="P49" s="44">
        <v>0</v>
      </c>
      <c r="Q49" s="44">
        <v>0</v>
      </c>
      <c r="R49" s="43">
        <v>40833862.859999999</v>
      </c>
      <c r="S49" s="43">
        <v>10653530.720000001</v>
      </c>
      <c r="T49" s="41">
        <v>1</v>
      </c>
    </row>
    <row r="50" spans="1:20" ht="15" customHeight="1" x14ac:dyDescent="0.4">
      <c r="A50" s="42" t="s">
        <v>512</v>
      </c>
      <c r="B50" s="41" t="s">
        <v>513</v>
      </c>
      <c r="C50" s="43">
        <v>3198312.36</v>
      </c>
      <c r="D50" s="43">
        <v>9827783.8000000007</v>
      </c>
      <c r="E50" s="43">
        <v>43149762.960000001</v>
      </c>
      <c r="F50" s="43">
        <v>6556423.1699999999</v>
      </c>
      <c r="G50" s="43">
        <v>5853159.9299999997</v>
      </c>
      <c r="H50" s="43">
        <v>6043139.9699999997</v>
      </c>
      <c r="I50" s="44">
        <v>0</v>
      </c>
      <c r="J50" s="44">
        <v>0</v>
      </c>
      <c r="K50" s="44">
        <v>0</v>
      </c>
      <c r="L50" s="44">
        <v>0</v>
      </c>
      <c r="M50" s="44">
        <v>0</v>
      </c>
      <c r="N50" s="44">
        <v>0</v>
      </c>
      <c r="O50" s="44">
        <v>0</v>
      </c>
      <c r="P50" s="44">
        <v>0</v>
      </c>
      <c r="Q50" s="44">
        <v>0</v>
      </c>
      <c r="R50" s="43">
        <v>18452723.07</v>
      </c>
      <c r="S50" s="43">
        <v>8624939.2699999996</v>
      </c>
      <c r="T50" s="41">
        <v>1</v>
      </c>
    </row>
    <row r="51" spans="1:20" ht="15" customHeight="1" x14ac:dyDescent="0.4">
      <c r="A51" s="42" t="s">
        <v>514</v>
      </c>
      <c r="B51" s="41" t="s">
        <v>515</v>
      </c>
      <c r="C51" s="43">
        <v>518214.41</v>
      </c>
      <c r="D51" s="43">
        <v>1171478.5</v>
      </c>
      <c r="E51" s="43">
        <v>4107988.89</v>
      </c>
      <c r="F51" s="43">
        <v>326278.93</v>
      </c>
      <c r="G51" s="43">
        <v>318251.59000000003</v>
      </c>
      <c r="H51" s="43">
        <v>360116.67</v>
      </c>
      <c r="I51" s="44">
        <v>0</v>
      </c>
      <c r="J51" s="44">
        <v>0</v>
      </c>
      <c r="K51" s="44">
        <v>0</v>
      </c>
      <c r="L51" s="44">
        <v>0</v>
      </c>
      <c r="M51" s="44">
        <v>0</v>
      </c>
      <c r="N51" s="44">
        <v>0</v>
      </c>
      <c r="O51" s="44">
        <v>0</v>
      </c>
      <c r="P51" s="44">
        <v>0</v>
      </c>
      <c r="Q51" s="44">
        <v>0</v>
      </c>
      <c r="R51" s="43">
        <v>1004647.19</v>
      </c>
      <c r="S51" s="43">
        <v>-166831.31</v>
      </c>
      <c r="T51" s="41">
        <v>1</v>
      </c>
    </row>
    <row r="52" spans="1:20" ht="15" customHeight="1" x14ac:dyDescent="0.4">
      <c r="A52" s="42" t="s">
        <v>516</v>
      </c>
      <c r="B52" s="41" t="s">
        <v>517</v>
      </c>
      <c r="C52" s="43">
        <v>-302906470.06999999</v>
      </c>
      <c r="D52" s="43">
        <v>-34114666.5</v>
      </c>
      <c r="E52" s="43">
        <v>-157754205.56</v>
      </c>
      <c r="F52" s="43">
        <v>138666437.5</v>
      </c>
      <c r="G52" s="43">
        <v>141166437.5</v>
      </c>
      <c r="H52" s="43">
        <v>-314155139.56999999</v>
      </c>
      <c r="I52" s="44">
        <v>0</v>
      </c>
      <c r="J52" s="44">
        <v>0</v>
      </c>
      <c r="K52" s="44">
        <v>0</v>
      </c>
      <c r="L52" s="44">
        <v>0</v>
      </c>
      <c r="M52" s="44">
        <v>0</v>
      </c>
      <c r="N52" s="44">
        <v>0</v>
      </c>
      <c r="O52" s="44">
        <v>0</v>
      </c>
      <c r="P52" s="44">
        <v>0</v>
      </c>
      <c r="Q52" s="44">
        <v>0</v>
      </c>
      <c r="R52" s="43">
        <v>-34322264.57</v>
      </c>
      <c r="S52" s="43">
        <v>-207598.07</v>
      </c>
      <c r="T52" s="41">
        <v>1</v>
      </c>
    </row>
    <row r="53" spans="1:20" ht="15" customHeight="1" x14ac:dyDescent="0.4">
      <c r="A53" s="42" t="s">
        <v>518</v>
      </c>
      <c r="B53" s="41" t="s">
        <v>519</v>
      </c>
      <c r="C53" s="44">
        <v>0</v>
      </c>
      <c r="D53" s="43">
        <v>18019633.600000001</v>
      </c>
      <c r="E53" s="43">
        <v>29355633.600000001</v>
      </c>
      <c r="F53" s="43">
        <v>18273118.739999998</v>
      </c>
      <c r="G53" s="44">
        <v>0</v>
      </c>
      <c r="H53" s="43">
        <v>10958913</v>
      </c>
      <c r="I53" s="44">
        <v>0</v>
      </c>
      <c r="J53" s="44">
        <v>0</v>
      </c>
      <c r="K53" s="44">
        <v>0</v>
      </c>
      <c r="L53" s="44">
        <v>0</v>
      </c>
      <c r="M53" s="44">
        <v>0</v>
      </c>
      <c r="N53" s="44">
        <v>0</v>
      </c>
      <c r="O53" s="44">
        <v>0</v>
      </c>
      <c r="P53" s="44">
        <v>0</v>
      </c>
      <c r="Q53" s="44">
        <v>0</v>
      </c>
      <c r="R53" s="43">
        <v>29232031.739999998</v>
      </c>
      <c r="S53" s="43">
        <v>11212398.140000001</v>
      </c>
      <c r="T53" s="41">
        <v>1</v>
      </c>
    </row>
    <row r="54" spans="1:20" ht="15" customHeight="1" x14ac:dyDescent="0.4">
      <c r="A54" s="42" t="s">
        <v>520</v>
      </c>
      <c r="B54" s="41" t="s">
        <v>521</v>
      </c>
      <c r="C54" s="43">
        <v>93056857.140000001</v>
      </c>
      <c r="D54" s="43">
        <v>93056857.140000001</v>
      </c>
      <c r="E54" s="43">
        <v>120939689.14</v>
      </c>
      <c r="F54" s="44">
        <v>0</v>
      </c>
      <c r="G54" s="44">
        <v>0</v>
      </c>
      <c r="H54" s="44">
        <v>0</v>
      </c>
      <c r="I54" s="44">
        <v>0</v>
      </c>
      <c r="J54" s="44">
        <v>0</v>
      </c>
      <c r="K54" s="44">
        <v>0</v>
      </c>
      <c r="L54" s="44">
        <v>0</v>
      </c>
      <c r="M54" s="44">
        <v>0</v>
      </c>
      <c r="N54" s="44">
        <v>0</v>
      </c>
      <c r="O54" s="44">
        <v>0</v>
      </c>
      <c r="P54" s="44">
        <v>0</v>
      </c>
      <c r="Q54" s="44">
        <v>0</v>
      </c>
      <c r="R54" s="44">
        <v>0</v>
      </c>
      <c r="S54" s="43">
        <v>-93056857.140000001</v>
      </c>
      <c r="T54" s="41">
        <v>1</v>
      </c>
    </row>
    <row r="55" spans="1:20" ht="15" customHeight="1" x14ac:dyDescent="0.4">
      <c r="A55" s="42" t="s">
        <v>522</v>
      </c>
      <c r="B55" s="41" t="s">
        <v>523</v>
      </c>
      <c r="C55" s="43">
        <v>13343012.91</v>
      </c>
      <c r="D55" s="43">
        <v>19310215.420000002</v>
      </c>
      <c r="E55" s="43">
        <v>83191278.310000002</v>
      </c>
      <c r="F55" s="43">
        <v>2952732.56</v>
      </c>
      <c r="G55" s="43">
        <v>2944879.01</v>
      </c>
      <c r="H55" s="43">
        <v>3381350.3999999999</v>
      </c>
      <c r="I55" s="44">
        <v>0</v>
      </c>
      <c r="J55" s="44">
        <v>0</v>
      </c>
      <c r="K55" s="44">
        <v>0</v>
      </c>
      <c r="L55" s="44">
        <v>0</v>
      </c>
      <c r="M55" s="44">
        <v>0</v>
      </c>
      <c r="N55" s="44">
        <v>0</v>
      </c>
      <c r="O55" s="44">
        <v>0</v>
      </c>
      <c r="P55" s="44">
        <v>0</v>
      </c>
      <c r="Q55" s="44">
        <v>0</v>
      </c>
      <c r="R55" s="43">
        <v>9278961.9700000007</v>
      </c>
      <c r="S55" s="43">
        <v>-10031253.449999999</v>
      </c>
      <c r="T55" s="41">
        <v>1</v>
      </c>
    </row>
    <row r="56" spans="1:20" ht="15" customHeight="1" x14ac:dyDescent="0.4">
      <c r="A56" s="42" t="s">
        <v>524</v>
      </c>
      <c r="B56" s="41" t="s">
        <v>525</v>
      </c>
      <c r="C56" s="43">
        <v>23580366.350000001</v>
      </c>
      <c r="D56" s="43">
        <v>75250483.260000005</v>
      </c>
      <c r="E56" s="43">
        <v>333600465.24000001</v>
      </c>
      <c r="F56" s="43">
        <v>29522602.719999999</v>
      </c>
      <c r="G56" s="43">
        <v>29486042.43</v>
      </c>
      <c r="H56" s="43">
        <v>29817690.57</v>
      </c>
      <c r="I56" s="44">
        <v>0</v>
      </c>
      <c r="J56" s="44">
        <v>0</v>
      </c>
      <c r="K56" s="44">
        <v>0</v>
      </c>
      <c r="L56" s="44">
        <v>0</v>
      </c>
      <c r="M56" s="44">
        <v>0</v>
      </c>
      <c r="N56" s="44">
        <v>0</v>
      </c>
      <c r="O56" s="44">
        <v>0</v>
      </c>
      <c r="P56" s="44">
        <v>0</v>
      </c>
      <c r="Q56" s="44">
        <v>0</v>
      </c>
      <c r="R56" s="43">
        <v>88826335.719999999</v>
      </c>
      <c r="S56" s="43">
        <v>13575852.460000001</v>
      </c>
      <c r="T56" s="41">
        <v>1</v>
      </c>
    </row>
    <row r="57" spans="1:20" ht="15" customHeight="1" x14ac:dyDescent="0.4">
      <c r="A57" s="42" t="s">
        <v>526</v>
      </c>
      <c r="B57" s="41" t="s">
        <v>527</v>
      </c>
      <c r="C57" s="43">
        <v>381773652</v>
      </c>
      <c r="D57" s="43">
        <v>381773652</v>
      </c>
      <c r="E57" s="43">
        <v>1539642591</v>
      </c>
      <c r="F57" s="44">
        <v>0</v>
      </c>
      <c r="G57" s="44">
        <v>0</v>
      </c>
      <c r="H57" s="43">
        <v>417096460</v>
      </c>
      <c r="I57" s="44">
        <v>0</v>
      </c>
      <c r="J57" s="44">
        <v>0</v>
      </c>
      <c r="K57" s="44">
        <v>0</v>
      </c>
      <c r="L57" s="44">
        <v>0</v>
      </c>
      <c r="M57" s="44">
        <v>0</v>
      </c>
      <c r="N57" s="44">
        <v>0</v>
      </c>
      <c r="O57" s="44">
        <v>0</v>
      </c>
      <c r="P57" s="44">
        <v>0</v>
      </c>
      <c r="Q57" s="44">
        <v>0</v>
      </c>
      <c r="R57" s="43">
        <v>417096460</v>
      </c>
      <c r="S57" s="43">
        <v>35322808</v>
      </c>
      <c r="T57" s="41">
        <v>1</v>
      </c>
    </row>
    <row r="58" spans="1:20" ht="15" customHeight="1" x14ac:dyDescent="0.4">
      <c r="A58" s="42" t="s">
        <v>528</v>
      </c>
      <c r="B58" s="41" t="s">
        <v>529</v>
      </c>
      <c r="C58" s="44">
        <v>0</v>
      </c>
      <c r="D58" s="43">
        <v>38608.589999999997</v>
      </c>
      <c r="E58" s="43">
        <v>2959232.37</v>
      </c>
      <c r="F58" s="43">
        <v>973541.26</v>
      </c>
      <c r="G58" s="43">
        <v>973541.26</v>
      </c>
      <c r="H58" s="43">
        <v>973541.26</v>
      </c>
      <c r="I58" s="44">
        <v>0</v>
      </c>
      <c r="J58" s="44">
        <v>0</v>
      </c>
      <c r="K58" s="44">
        <v>0</v>
      </c>
      <c r="L58" s="44">
        <v>0</v>
      </c>
      <c r="M58" s="44">
        <v>0</v>
      </c>
      <c r="N58" s="44">
        <v>0</v>
      </c>
      <c r="O58" s="44">
        <v>0</v>
      </c>
      <c r="P58" s="44">
        <v>0</v>
      </c>
      <c r="Q58" s="44">
        <v>0</v>
      </c>
      <c r="R58" s="43">
        <v>2920623.78</v>
      </c>
      <c r="S58" s="43">
        <v>2882015.19</v>
      </c>
      <c r="T58" s="41">
        <v>1</v>
      </c>
    </row>
    <row r="59" spans="1:20" ht="15" customHeight="1" x14ac:dyDescent="0.4">
      <c r="A59" s="42" t="s">
        <v>530</v>
      </c>
      <c r="B59" s="41" t="s">
        <v>531</v>
      </c>
      <c r="C59" s="43">
        <v>56695495.899999999</v>
      </c>
      <c r="D59" s="43">
        <v>207896563.03</v>
      </c>
      <c r="E59" s="43">
        <v>1291724800.5</v>
      </c>
      <c r="F59" s="43">
        <v>13330616.42</v>
      </c>
      <c r="G59" s="43">
        <v>45584307</v>
      </c>
      <c r="H59" s="43">
        <v>41273933.579999998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3">
        <v>100188857</v>
      </c>
      <c r="S59" s="43">
        <v>-107707706.03</v>
      </c>
      <c r="T59" s="41">
        <v>1</v>
      </c>
    </row>
    <row r="60" spans="1:20" ht="15" customHeight="1" x14ac:dyDescent="0.4">
      <c r="A60" s="42" t="s">
        <v>532</v>
      </c>
      <c r="B60" s="41" t="s">
        <v>533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>
        <v>0</v>
      </c>
      <c r="O60" s="44">
        <v>0</v>
      </c>
      <c r="P60" s="44">
        <v>0</v>
      </c>
      <c r="Q60" s="44">
        <v>0</v>
      </c>
      <c r="R60" s="44">
        <v>0</v>
      </c>
      <c r="S60" s="44">
        <v>0</v>
      </c>
      <c r="T60" s="41">
        <v>1</v>
      </c>
    </row>
    <row r="61" spans="1:20" ht="15" customHeight="1" x14ac:dyDescent="0.4">
      <c r="A61" s="42" t="s">
        <v>534</v>
      </c>
      <c r="B61" s="41" t="s">
        <v>535</v>
      </c>
      <c r="C61" s="43">
        <v>3500005.53</v>
      </c>
      <c r="D61" s="43">
        <v>10519067.02</v>
      </c>
      <c r="E61" s="43">
        <v>2525458.02</v>
      </c>
      <c r="F61" s="44">
        <v>111.18</v>
      </c>
      <c r="G61" s="44">
        <v>0</v>
      </c>
      <c r="H61" s="43">
        <v>629420.64</v>
      </c>
      <c r="I61" s="44">
        <v>0</v>
      </c>
      <c r="J61" s="44">
        <v>0</v>
      </c>
      <c r="K61" s="44">
        <v>0</v>
      </c>
      <c r="L61" s="44">
        <v>0</v>
      </c>
      <c r="M61" s="44">
        <v>0</v>
      </c>
      <c r="N61" s="44">
        <v>0</v>
      </c>
      <c r="O61" s="44">
        <v>0</v>
      </c>
      <c r="P61" s="44">
        <v>0</v>
      </c>
      <c r="Q61" s="44">
        <v>0</v>
      </c>
      <c r="R61" s="43">
        <v>629531.81999999995</v>
      </c>
      <c r="S61" s="43">
        <v>-9889535.1999999993</v>
      </c>
      <c r="T61" s="41">
        <v>1</v>
      </c>
    </row>
    <row r="62" spans="1:20" ht="15" customHeight="1" x14ac:dyDescent="0.4">
      <c r="A62" s="42" t="s">
        <v>536</v>
      </c>
      <c r="B62" s="41" t="s">
        <v>537</v>
      </c>
      <c r="C62" s="43">
        <v>125508733.02</v>
      </c>
      <c r="D62" s="43">
        <v>325381624.44999999</v>
      </c>
      <c r="E62" s="43">
        <v>1574298187.55</v>
      </c>
      <c r="F62" s="43">
        <v>31844844.449999999</v>
      </c>
      <c r="G62" s="43">
        <v>44787365.740000002</v>
      </c>
      <c r="H62" s="43">
        <v>24477591.010000002</v>
      </c>
      <c r="I62" s="44">
        <v>0</v>
      </c>
      <c r="J62" s="44">
        <v>0</v>
      </c>
      <c r="K62" s="44">
        <v>0</v>
      </c>
      <c r="L62" s="44">
        <v>0</v>
      </c>
      <c r="M62" s="44">
        <v>0</v>
      </c>
      <c r="N62" s="44">
        <v>0</v>
      </c>
      <c r="O62" s="44">
        <v>0</v>
      </c>
      <c r="P62" s="44">
        <v>0</v>
      </c>
      <c r="Q62" s="44">
        <v>0</v>
      </c>
      <c r="R62" s="43">
        <v>101109801.2</v>
      </c>
      <c r="S62" s="43">
        <v>-224271823.25</v>
      </c>
      <c r="T62" s="41">
        <v>1</v>
      </c>
    </row>
    <row r="63" spans="1:20" ht="15" customHeight="1" x14ac:dyDescent="0.4">
      <c r="A63" s="42" t="s">
        <v>538</v>
      </c>
      <c r="B63" s="41" t="s">
        <v>539</v>
      </c>
      <c r="C63" s="44">
        <v>0</v>
      </c>
      <c r="D63" s="44">
        <v>0</v>
      </c>
      <c r="E63" s="44">
        <v>0</v>
      </c>
      <c r="F63" s="44">
        <v>0</v>
      </c>
      <c r="G63" s="44">
        <v>0</v>
      </c>
      <c r="H63" s="44">
        <v>0</v>
      </c>
      <c r="I63" s="44">
        <v>0</v>
      </c>
      <c r="J63" s="44">
        <v>0</v>
      </c>
      <c r="K63" s="44">
        <v>0</v>
      </c>
      <c r="L63" s="44">
        <v>0</v>
      </c>
      <c r="M63" s="44">
        <v>0</v>
      </c>
      <c r="N63" s="44">
        <v>0</v>
      </c>
      <c r="O63" s="44">
        <v>0</v>
      </c>
      <c r="P63" s="44">
        <v>0</v>
      </c>
      <c r="Q63" s="44">
        <v>0</v>
      </c>
      <c r="R63" s="44">
        <v>0</v>
      </c>
      <c r="S63" s="44">
        <v>0</v>
      </c>
      <c r="T63" s="41">
        <v>1</v>
      </c>
    </row>
    <row r="64" spans="1:20" ht="15" customHeight="1" x14ac:dyDescent="0.4">
      <c r="A64" s="42" t="s">
        <v>540</v>
      </c>
      <c r="B64" s="41" t="s">
        <v>541</v>
      </c>
      <c r="C64" s="44">
        <v>0</v>
      </c>
      <c r="D64" s="44">
        <v>0</v>
      </c>
      <c r="E64" s="44">
        <v>0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44">
        <v>0</v>
      </c>
      <c r="Q64" s="44">
        <v>0</v>
      </c>
      <c r="R64" s="44">
        <v>0</v>
      </c>
      <c r="S64" s="44">
        <v>0</v>
      </c>
      <c r="T64" s="41">
        <v>1</v>
      </c>
    </row>
    <row r="65" spans="1:20" ht="15" customHeight="1" x14ac:dyDescent="0.4">
      <c r="A65" s="42" t="s">
        <v>542</v>
      </c>
      <c r="B65" s="41" t="s">
        <v>543</v>
      </c>
      <c r="C65" s="44">
        <v>0</v>
      </c>
      <c r="D65" s="44">
        <v>0</v>
      </c>
      <c r="E65" s="44">
        <v>0</v>
      </c>
      <c r="F65" s="44">
        <v>0</v>
      </c>
      <c r="G65" s="44">
        <v>0</v>
      </c>
      <c r="H65" s="44">
        <v>0</v>
      </c>
      <c r="I65" s="44">
        <v>0</v>
      </c>
      <c r="J65" s="44">
        <v>0</v>
      </c>
      <c r="K65" s="44">
        <v>0</v>
      </c>
      <c r="L65" s="44">
        <v>0</v>
      </c>
      <c r="M65" s="44">
        <v>0</v>
      </c>
      <c r="N65" s="44">
        <v>0</v>
      </c>
      <c r="O65" s="44">
        <v>0</v>
      </c>
      <c r="P65" s="44">
        <v>0</v>
      </c>
      <c r="Q65" s="44">
        <v>0</v>
      </c>
      <c r="R65" s="44">
        <v>0</v>
      </c>
      <c r="S65" s="44">
        <v>0</v>
      </c>
      <c r="T65" s="41">
        <v>1</v>
      </c>
    </row>
    <row r="66" spans="1:20" ht="15" customHeight="1" x14ac:dyDescent="0.4">
      <c r="A66" s="42" t="s">
        <v>544</v>
      </c>
      <c r="B66" s="41" t="s">
        <v>545</v>
      </c>
      <c r="C66" s="44">
        <v>0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44">
        <v>0</v>
      </c>
      <c r="Q66" s="44">
        <v>0</v>
      </c>
      <c r="R66" s="44">
        <v>0</v>
      </c>
      <c r="S66" s="44">
        <v>0</v>
      </c>
      <c r="T66" s="41">
        <v>1</v>
      </c>
    </row>
    <row r="67" spans="1:20" ht="15" customHeight="1" x14ac:dyDescent="0.4">
      <c r="A67" s="42" t="s">
        <v>546</v>
      </c>
      <c r="B67" s="41" t="s">
        <v>547</v>
      </c>
      <c r="C67" s="43">
        <v>403308705.76999998</v>
      </c>
      <c r="D67" s="43">
        <v>467955853.92000002</v>
      </c>
      <c r="E67" s="43">
        <v>-199364168.13</v>
      </c>
      <c r="F67" s="43">
        <v>8660191</v>
      </c>
      <c r="G67" s="43">
        <v>7277418.7000000002</v>
      </c>
      <c r="H67" s="43">
        <v>28336237.300000001</v>
      </c>
      <c r="I67" s="44">
        <v>0</v>
      </c>
      <c r="J67" s="44">
        <v>0</v>
      </c>
      <c r="K67" s="44">
        <v>0</v>
      </c>
      <c r="L67" s="44">
        <v>0</v>
      </c>
      <c r="M67" s="44">
        <v>0</v>
      </c>
      <c r="N67" s="44">
        <v>0</v>
      </c>
      <c r="O67" s="44">
        <v>0</v>
      </c>
      <c r="P67" s="44">
        <v>0</v>
      </c>
      <c r="Q67" s="44">
        <v>0</v>
      </c>
      <c r="R67" s="43">
        <v>44273847</v>
      </c>
      <c r="S67" s="43">
        <v>-423682006.92000002</v>
      </c>
      <c r="T67" s="41">
        <v>1</v>
      </c>
    </row>
    <row r="68" spans="1:20" ht="15" customHeight="1" x14ac:dyDescent="0.4">
      <c r="A68" s="42" t="s">
        <v>548</v>
      </c>
      <c r="B68" s="41" t="s">
        <v>549</v>
      </c>
      <c r="C68" s="44">
        <v>0</v>
      </c>
      <c r="D68" s="44">
        <v>0</v>
      </c>
      <c r="E68" s="44">
        <v>0</v>
      </c>
      <c r="F68" s="44">
        <v>0</v>
      </c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0</v>
      </c>
      <c r="O68" s="44">
        <v>0</v>
      </c>
      <c r="P68" s="44">
        <v>0</v>
      </c>
      <c r="Q68" s="44">
        <v>0</v>
      </c>
      <c r="R68" s="44">
        <v>0</v>
      </c>
      <c r="S68" s="44">
        <v>0</v>
      </c>
      <c r="T68" s="41">
        <v>1</v>
      </c>
    </row>
    <row r="69" spans="1:20" ht="15" customHeight="1" x14ac:dyDescent="0.4">
      <c r="A69" s="42" t="s">
        <v>550</v>
      </c>
      <c r="B69" s="41" t="s">
        <v>551</v>
      </c>
      <c r="C69" s="44">
        <v>0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0</v>
      </c>
      <c r="P69" s="44">
        <v>0</v>
      </c>
      <c r="Q69" s="44">
        <v>0</v>
      </c>
      <c r="R69" s="44">
        <v>0</v>
      </c>
      <c r="S69" s="44">
        <v>0</v>
      </c>
      <c r="T69" s="41">
        <v>1</v>
      </c>
    </row>
    <row r="70" spans="1:20" ht="15" customHeight="1" x14ac:dyDescent="0.4">
      <c r="A70" s="42" t="s">
        <v>552</v>
      </c>
      <c r="B70" s="41" t="s">
        <v>553</v>
      </c>
      <c r="C70" s="43">
        <v>496077.93</v>
      </c>
      <c r="D70" s="43">
        <v>496077.93</v>
      </c>
      <c r="E70" s="43">
        <v>496077.93</v>
      </c>
      <c r="F70" s="44">
        <v>0</v>
      </c>
      <c r="G70" s="44">
        <v>0</v>
      </c>
      <c r="H70" s="43">
        <v>102997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>
        <v>0</v>
      </c>
      <c r="P70" s="44">
        <v>0</v>
      </c>
      <c r="Q70" s="44">
        <v>0</v>
      </c>
      <c r="R70" s="43">
        <v>102997</v>
      </c>
      <c r="S70" s="43">
        <v>-393080.93</v>
      </c>
      <c r="T70" s="41">
        <v>1</v>
      </c>
    </row>
    <row r="71" spans="1:20" ht="15" customHeight="1" x14ac:dyDescent="0.4">
      <c r="A71" s="42" t="s">
        <v>554</v>
      </c>
      <c r="B71" s="41" t="s">
        <v>555</v>
      </c>
      <c r="C71" s="44">
        <v>0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0</v>
      </c>
      <c r="P71" s="44">
        <v>0</v>
      </c>
      <c r="Q71" s="44">
        <v>0</v>
      </c>
      <c r="R71" s="44">
        <v>0</v>
      </c>
      <c r="S71" s="44">
        <v>0</v>
      </c>
      <c r="T71" s="41">
        <v>1</v>
      </c>
    </row>
    <row r="72" spans="1:20" ht="15" customHeight="1" x14ac:dyDescent="0.4">
      <c r="A72" s="42" t="s">
        <v>556</v>
      </c>
      <c r="B72" s="41" t="s">
        <v>557</v>
      </c>
      <c r="C72" s="44">
        <v>0</v>
      </c>
      <c r="D72" s="44">
        <v>0</v>
      </c>
      <c r="E72" s="44">
        <v>0</v>
      </c>
      <c r="F72" s="44">
        <v>0</v>
      </c>
      <c r="G72" s="44">
        <v>0</v>
      </c>
      <c r="H72" s="44">
        <v>0</v>
      </c>
      <c r="I72" s="44">
        <v>0</v>
      </c>
      <c r="J72" s="44">
        <v>0</v>
      </c>
      <c r="K72" s="44">
        <v>0</v>
      </c>
      <c r="L72" s="44">
        <v>0</v>
      </c>
      <c r="M72" s="44">
        <v>0</v>
      </c>
      <c r="N72" s="44">
        <v>0</v>
      </c>
      <c r="O72" s="44">
        <v>0</v>
      </c>
      <c r="P72" s="44">
        <v>0</v>
      </c>
      <c r="Q72" s="44">
        <v>0</v>
      </c>
      <c r="R72" s="44">
        <v>0</v>
      </c>
      <c r="S72" s="44">
        <v>0</v>
      </c>
      <c r="T72" s="41">
        <v>1</v>
      </c>
    </row>
    <row r="73" spans="1:20" ht="15" customHeight="1" x14ac:dyDescent="0.4">
      <c r="A73" s="42" t="s">
        <v>723</v>
      </c>
      <c r="B73" s="41" t="s">
        <v>724</v>
      </c>
      <c r="C73" s="44">
        <v>0</v>
      </c>
      <c r="D73" s="44">
        <v>0</v>
      </c>
      <c r="E73" s="44">
        <v>0</v>
      </c>
      <c r="F73" s="44">
        <v>0</v>
      </c>
      <c r="G73" s="44">
        <v>0</v>
      </c>
      <c r="H73" s="44">
        <v>0</v>
      </c>
      <c r="I73" s="44">
        <v>0</v>
      </c>
      <c r="J73" s="44">
        <v>0</v>
      </c>
      <c r="K73" s="44">
        <v>0</v>
      </c>
      <c r="L73" s="44">
        <v>0</v>
      </c>
      <c r="M73" s="44">
        <v>0</v>
      </c>
      <c r="N73" s="44">
        <v>0</v>
      </c>
      <c r="O73" s="44">
        <v>0</v>
      </c>
      <c r="P73" s="44">
        <v>0</v>
      </c>
      <c r="Q73" s="44">
        <v>0</v>
      </c>
      <c r="R73" s="44">
        <v>0</v>
      </c>
      <c r="S73" s="44">
        <v>0</v>
      </c>
      <c r="T73" s="41">
        <v>1</v>
      </c>
    </row>
    <row r="74" spans="1:20" ht="15" customHeight="1" x14ac:dyDescent="0.4">
      <c r="A74" s="37" t="s">
        <v>558</v>
      </c>
      <c r="B74" s="38" t="s">
        <v>559</v>
      </c>
      <c r="C74" s="39">
        <v>-1962192300.01</v>
      </c>
      <c r="D74" s="39">
        <v>-2216366690.8299999</v>
      </c>
      <c r="E74" s="39">
        <v>-3238609527.3400002</v>
      </c>
      <c r="F74" s="39">
        <v>217492133.93000001</v>
      </c>
      <c r="G74" s="39">
        <v>5082873.01</v>
      </c>
      <c r="H74" s="39">
        <v>-211468936.63</v>
      </c>
      <c r="I74" s="40">
        <v>0</v>
      </c>
      <c r="J74" s="40">
        <v>0</v>
      </c>
      <c r="K74" s="40">
        <v>0</v>
      </c>
      <c r="L74" s="40">
        <v>0</v>
      </c>
      <c r="M74" s="40">
        <v>0</v>
      </c>
      <c r="N74" s="40">
        <v>0</v>
      </c>
      <c r="O74" s="40">
        <v>0</v>
      </c>
      <c r="P74" s="40">
        <v>0</v>
      </c>
      <c r="Q74" s="40">
        <v>0</v>
      </c>
      <c r="R74" s="39">
        <v>11106070.310000001</v>
      </c>
      <c r="S74" s="39">
        <v>2227472761.1399999</v>
      </c>
      <c r="T74" s="41">
        <v>2</v>
      </c>
    </row>
    <row r="75" spans="1:20" ht="15" customHeight="1" x14ac:dyDescent="0.4">
      <c r="A75" s="37" t="s">
        <v>560</v>
      </c>
      <c r="B75" s="38" t="s">
        <v>561</v>
      </c>
      <c r="C75" s="39">
        <v>603351434.70000005</v>
      </c>
      <c r="D75" s="39">
        <v>1156637031.45</v>
      </c>
      <c r="E75" s="39">
        <v>8878582713.2999992</v>
      </c>
      <c r="F75" s="39">
        <v>257451884.55000001</v>
      </c>
      <c r="G75" s="39">
        <v>739093732.89999998</v>
      </c>
      <c r="H75" s="39">
        <v>279778492.01999998</v>
      </c>
      <c r="I75" s="40">
        <v>0</v>
      </c>
      <c r="J75" s="40">
        <v>0</v>
      </c>
      <c r="K75" s="40">
        <v>0</v>
      </c>
      <c r="L75" s="40">
        <v>0</v>
      </c>
      <c r="M75" s="40">
        <v>0</v>
      </c>
      <c r="N75" s="40">
        <v>0</v>
      </c>
      <c r="O75" s="40">
        <v>0</v>
      </c>
      <c r="P75" s="40">
        <v>0</v>
      </c>
      <c r="Q75" s="40">
        <v>0</v>
      </c>
      <c r="R75" s="39">
        <v>1276324109.47</v>
      </c>
      <c r="S75" s="39">
        <v>119687078.02</v>
      </c>
      <c r="T75" s="41">
        <v>2</v>
      </c>
    </row>
    <row r="76" spans="1:20" ht="15" customHeight="1" x14ac:dyDescent="0.4">
      <c r="A76" s="42" t="s">
        <v>562</v>
      </c>
      <c r="B76" s="41" t="s">
        <v>563</v>
      </c>
      <c r="C76" s="44">
        <v>0</v>
      </c>
      <c r="D76" s="44">
        <v>0</v>
      </c>
      <c r="E76" s="44">
        <v>0</v>
      </c>
      <c r="F76" s="44">
        <v>0</v>
      </c>
      <c r="G76" s="44">
        <v>0</v>
      </c>
      <c r="H76" s="44">
        <v>0</v>
      </c>
      <c r="I76" s="44">
        <v>0</v>
      </c>
      <c r="J76" s="44">
        <v>0</v>
      </c>
      <c r="K76" s="44">
        <v>0</v>
      </c>
      <c r="L76" s="44">
        <v>0</v>
      </c>
      <c r="M76" s="44">
        <v>0</v>
      </c>
      <c r="N76" s="44">
        <v>0</v>
      </c>
      <c r="O76" s="44">
        <v>0</v>
      </c>
      <c r="P76" s="44">
        <v>0</v>
      </c>
      <c r="Q76" s="44">
        <v>0</v>
      </c>
      <c r="R76" s="44">
        <v>0</v>
      </c>
      <c r="S76" s="44">
        <v>0</v>
      </c>
      <c r="T76" s="41">
        <v>1</v>
      </c>
    </row>
    <row r="77" spans="1:20" ht="15" customHeight="1" x14ac:dyDescent="0.4">
      <c r="A77" s="42" t="s">
        <v>564</v>
      </c>
      <c r="B77" s="41" t="s">
        <v>565</v>
      </c>
      <c r="C77" s="44">
        <v>0</v>
      </c>
      <c r="D77" s="44">
        <v>0</v>
      </c>
      <c r="E77" s="44">
        <v>0</v>
      </c>
      <c r="F77" s="44">
        <v>0</v>
      </c>
      <c r="G77" s="44">
        <v>0</v>
      </c>
      <c r="H77" s="44">
        <v>0</v>
      </c>
      <c r="I77" s="44">
        <v>0</v>
      </c>
      <c r="J77" s="44">
        <v>0</v>
      </c>
      <c r="K77" s="44">
        <v>0</v>
      </c>
      <c r="L77" s="44">
        <v>0</v>
      </c>
      <c r="M77" s="44">
        <v>0</v>
      </c>
      <c r="N77" s="44">
        <v>0</v>
      </c>
      <c r="O77" s="44">
        <v>0</v>
      </c>
      <c r="P77" s="44">
        <v>0</v>
      </c>
      <c r="Q77" s="44">
        <v>0</v>
      </c>
      <c r="R77" s="44">
        <v>0</v>
      </c>
      <c r="S77" s="44">
        <v>0</v>
      </c>
      <c r="T77" s="41">
        <v>1</v>
      </c>
    </row>
    <row r="78" spans="1:20" ht="15" customHeight="1" x14ac:dyDescent="0.4">
      <c r="A78" s="42" t="s">
        <v>566</v>
      </c>
      <c r="B78" s="41" t="s">
        <v>567</v>
      </c>
      <c r="C78" s="44">
        <v>0</v>
      </c>
      <c r="D78" s="44">
        <v>0</v>
      </c>
      <c r="E78" s="44">
        <v>0</v>
      </c>
      <c r="F78" s="44">
        <v>0</v>
      </c>
      <c r="G78" s="44">
        <v>0</v>
      </c>
      <c r="H78" s="44">
        <v>0</v>
      </c>
      <c r="I78" s="44">
        <v>0</v>
      </c>
      <c r="J78" s="44">
        <v>0</v>
      </c>
      <c r="K78" s="44">
        <v>0</v>
      </c>
      <c r="L78" s="44">
        <v>0</v>
      </c>
      <c r="M78" s="44">
        <v>0</v>
      </c>
      <c r="N78" s="44">
        <v>0</v>
      </c>
      <c r="O78" s="44">
        <v>0</v>
      </c>
      <c r="P78" s="44">
        <v>0</v>
      </c>
      <c r="Q78" s="44">
        <v>0</v>
      </c>
      <c r="R78" s="44">
        <v>0</v>
      </c>
      <c r="S78" s="44">
        <v>0</v>
      </c>
      <c r="T78" s="41">
        <v>1</v>
      </c>
    </row>
    <row r="79" spans="1:20" ht="15" customHeight="1" x14ac:dyDescent="0.4">
      <c r="A79" s="42" t="s">
        <v>568</v>
      </c>
      <c r="B79" s="41" t="s">
        <v>569</v>
      </c>
      <c r="C79" s="44">
        <v>0</v>
      </c>
      <c r="D79" s="44">
        <v>0</v>
      </c>
      <c r="E79" s="44">
        <v>0</v>
      </c>
      <c r="F79" s="44">
        <v>0</v>
      </c>
      <c r="G79" s="44">
        <v>0</v>
      </c>
      <c r="H79" s="44">
        <v>0</v>
      </c>
      <c r="I79" s="44">
        <v>0</v>
      </c>
      <c r="J79" s="44">
        <v>0</v>
      </c>
      <c r="K79" s="44">
        <v>0</v>
      </c>
      <c r="L79" s="44">
        <v>0</v>
      </c>
      <c r="M79" s="44">
        <v>0</v>
      </c>
      <c r="N79" s="44">
        <v>0</v>
      </c>
      <c r="O79" s="44">
        <v>0</v>
      </c>
      <c r="P79" s="44">
        <v>0</v>
      </c>
      <c r="Q79" s="44">
        <v>0</v>
      </c>
      <c r="R79" s="44">
        <v>0</v>
      </c>
      <c r="S79" s="44">
        <v>0</v>
      </c>
      <c r="T79" s="41">
        <v>1</v>
      </c>
    </row>
    <row r="80" spans="1:20" ht="15" customHeight="1" x14ac:dyDescent="0.4">
      <c r="A80" s="42" t="s">
        <v>570</v>
      </c>
      <c r="B80" s="41" t="s">
        <v>571</v>
      </c>
      <c r="C80" s="43">
        <v>145351849.58000001</v>
      </c>
      <c r="D80" s="43">
        <v>698637446.33000004</v>
      </c>
      <c r="E80" s="43">
        <v>8878404141.8700008</v>
      </c>
      <c r="F80" s="43">
        <v>257451884.55000001</v>
      </c>
      <c r="G80" s="43">
        <v>739093732.89999998</v>
      </c>
      <c r="H80" s="43">
        <v>279778492.01999998</v>
      </c>
      <c r="I80" s="44">
        <v>0</v>
      </c>
      <c r="J80" s="44">
        <v>0</v>
      </c>
      <c r="K80" s="44">
        <v>0</v>
      </c>
      <c r="L80" s="44">
        <v>0</v>
      </c>
      <c r="M80" s="44">
        <v>0</v>
      </c>
      <c r="N80" s="44">
        <v>0</v>
      </c>
      <c r="O80" s="44">
        <v>0</v>
      </c>
      <c r="P80" s="44">
        <v>0</v>
      </c>
      <c r="Q80" s="44">
        <v>0</v>
      </c>
      <c r="R80" s="43">
        <v>1276324109.47</v>
      </c>
      <c r="S80" s="43">
        <v>577686663.13999999</v>
      </c>
      <c r="T80" s="41">
        <v>1</v>
      </c>
    </row>
    <row r="81" spans="1:20" ht="15" customHeight="1" x14ac:dyDescent="0.4">
      <c r="A81" s="42" t="s">
        <v>572</v>
      </c>
      <c r="B81" s="41" t="s">
        <v>573</v>
      </c>
      <c r="C81" s="44">
        <v>0</v>
      </c>
      <c r="D81" s="44">
        <v>0</v>
      </c>
      <c r="E81" s="44">
        <v>0</v>
      </c>
      <c r="F81" s="44">
        <v>0</v>
      </c>
      <c r="G81" s="44">
        <v>0</v>
      </c>
      <c r="H81" s="44">
        <v>0</v>
      </c>
      <c r="I81" s="44">
        <v>0</v>
      </c>
      <c r="J81" s="44">
        <v>0</v>
      </c>
      <c r="K81" s="44">
        <v>0</v>
      </c>
      <c r="L81" s="44">
        <v>0</v>
      </c>
      <c r="M81" s="44">
        <v>0</v>
      </c>
      <c r="N81" s="44">
        <v>0</v>
      </c>
      <c r="O81" s="44">
        <v>0</v>
      </c>
      <c r="P81" s="44">
        <v>0</v>
      </c>
      <c r="Q81" s="44">
        <v>0</v>
      </c>
      <c r="R81" s="44">
        <v>0</v>
      </c>
      <c r="S81" s="44">
        <v>0</v>
      </c>
      <c r="T81" s="41">
        <v>1</v>
      </c>
    </row>
    <row r="82" spans="1:20" ht="15" customHeight="1" x14ac:dyDescent="0.4">
      <c r="A82" s="42" t="s">
        <v>574</v>
      </c>
      <c r="B82" s="41" t="s">
        <v>575</v>
      </c>
      <c r="C82" s="44">
        <v>0</v>
      </c>
      <c r="D82" s="44">
        <v>0</v>
      </c>
      <c r="E82" s="44">
        <v>0</v>
      </c>
      <c r="F82" s="44">
        <v>0</v>
      </c>
      <c r="G82" s="44">
        <v>0</v>
      </c>
      <c r="H82" s="44">
        <v>0</v>
      </c>
      <c r="I82" s="44">
        <v>0</v>
      </c>
      <c r="J82" s="44">
        <v>0</v>
      </c>
      <c r="K82" s="44">
        <v>0</v>
      </c>
      <c r="L82" s="44">
        <v>0</v>
      </c>
      <c r="M82" s="44">
        <v>0</v>
      </c>
      <c r="N82" s="44">
        <v>0</v>
      </c>
      <c r="O82" s="44">
        <v>0</v>
      </c>
      <c r="P82" s="44">
        <v>0</v>
      </c>
      <c r="Q82" s="44">
        <v>0</v>
      </c>
      <c r="R82" s="44">
        <v>0</v>
      </c>
      <c r="S82" s="44">
        <v>0</v>
      </c>
      <c r="T82" s="41">
        <v>1</v>
      </c>
    </row>
    <row r="83" spans="1:20" ht="15" customHeight="1" x14ac:dyDescent="0.4">
      <c r="A83" s="42" t="s">
        <v>576</v>
      </c>
      <c r="B83" s="41" t="s">
        <v>577</v>
      </c>
      <c r="C83" s="44">
        <v>0</v>
      </c>
      <c r="D83" s="44">
        <v>0</v>
      </c>
      <c r="E83" s="44">
        <v>0</v>
      </c>
      <c r="F83" s="44">
        <v>0</v>
      </c>
      <c r="G83" s="44">
        <v>0</v>
      </c>
      <c r="H83" s="44">
        <v>0</v>
      </c>
      <c r="I83" s="44">
        <v>0</v>
      </c>
      <c r="J83" s="44">
        <v>0</v>
      </c>
      <c r="K83" s="44">
        <v>0</v>
      </c>
      <c r="L83" s="44">
        <v>0</v>
      </c>
      <c r="M83" s="44">
        <v>0</v>
      </c>
      <c r="N83" s="44">
        <v>0</v>
      </c>
      <c r="O83" s="44">
        <v>0</v>
      </c>
      <c r="P83" s="44">
        <v>0</v>
      </c>
      <c r="Q83" s="44">
        <v>0</v>
      </c>
      <c r="R83" s="44">
        <v>0</v>
      </c>
      <c r="S83" s="44">
        <v>0</v>
      </c>
      <c r="T83" s="41">
        <v>1</v>
      </c>
    </row>
    <row r="84" spans="1:20" ht="15" customHeight="1" x14ac:dyDescent="0.4">
      <c r="A84" s="42" t="s">
        <v>578</v>
      </c>
      <c r="B84" s="41" t="s">
        <v>579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0</v>
      </c>
      <c r="K84" s="44">
        <v>0</v>
      </c>
      <c r="L84" s="44">
        <v>0</v>
      </c>
      <c r="M84" s="44">
        <v>0</v>
      </c>
      <c r="N84" s="44">
        <v>0</v>
      </c>
      <c r="O84" s="44">
        <v>0</v>
      </c>
      <c r="P84" s="44">
        <v>0</v>
      </c>
      <c r="Q84" s="44">
        <v>0</v>
      </c>
      <c r="R84" s="44">
        <v>0</v>
      </c>
      <c r="S84" s="44">
        <v>0</v>
      </c>
      <c r="T84" s="41">
        <v>1</v>
      </c>
    </row>
    <row r="85" spans="1:20" ht="15" customHeight="1" x14ac:dyDescent="0.4">
      <c r="A85" s="42" t="s">
        <v>580</v>
      </c>
      <c r="B85" s="41" t="s">
        <v>581</v>
      </c>
      <c r="C85" s="44">
        <v>0</v>
      </c>
      <c r="D85" s="44">
        <v>0</v>
      </c>
      <c r="E85" s="44">
        <v>0</v>
      </c>
      <c r="F85" s="44">
        <v>0</v>
      </c>
      <c r="G85" s="44">
        <v>0</v>
      </c>
      <c r="H85" s="44">
        <v>0</v>
      </c>
      <c r="I85" s="44">
        <v>0</v>
      </c>
      <c r="J85" s="44">
        <v>0</v>
      </c>
      <c r="K85" s="44">
        <v>0</v>
      </c>
      <c r="L85" s="44">
        <v>0</v>
      </c>
      <c r="M85" s="44">
        <v>0</v>
      </c>
      <c r="N85" s="44">
        <v>0</v>
      </c>
      <c r="O85" s="44">
        <v>0</v>
      </c>
      <c r="P85" s="44">
        <v>0</v>
      </c>
      <c r="Q85" s="44">
        <v>0</v>
      </c>
      <c r="R85" s="44">
        <v>0</v>
      </c>
      <c r="S85" s="44">
        <v>0</v>
      </c>
      <c r="T85" s="41">
        <v>1</v>
      </c>
    </row>
    <row r="86" spans="1:20" ht="15" customHeight="1" x14ac:dyDescent="0.4">
      <c r="A86" s="42" t="s">
        <v>582</v>
      </c>
      <c r="B86" s="41" t="s">
        <v>583</v>
      </c>
      <c r="C86" s="44">
        <v>0</v>
      </c>
      <c r="D86" s="44">
        <v>0</v>
      </c>
      <c r="E86" s="44">
        <v>0</v>
      </c>
      <c r="F86" s="44">
        <v>0</v>
      </c>
      <c r="G86" s="44">
        <v>0</v>
      </c>
      <c r="H86" s="44">
        <v>0</v>
      </c>
      <c r="I86" s="44">
        <v>0</v>
      </c>
      <c r="J86" s="44">
        <v>0</v>
      </c>
      <c r="K86" s="44">
        <v>0</v>
      </c>
      <c r="L86" s="44">
        <v>0</v>
      </c>
      <c r="M86" s="44">
        <v>0</v>
      </c>
      <c r="N86" s="44">
        <v>0</v>
      </c>
      <c r="O86" s="44">
        <v>0</v>
      </c>
      <c r="P86" s="44">
        <v>0</v>
      </c>
      <c r="Q86" s="44">
        <v>0</v>
      </c>
      <c r="R86" s="44">
        <v>0</v>
      </c>
      <c r="S86" s="44">
        <v>0</v>
      </c>
      <c r="T86" s="41">
        <v>1</v>
      </c>
    </row>
    <row r="87" spans="1:20" ht="15" customHeight="1" x14ac:dyDescent="0.4">
      <c r="A87" s="42" t="s">
        <v>584</v>
      </c>
      <c r="B87" s="41" t="s">
        <v>585</v>
      </c>
      <c r="C87" s="44">
        <v>0</v>
      </c>
      <c r="D87" s="44">
        <v>0</v>
      </c>
      <c r="E87" s="44">
        <v>0</v>
      </c>
      <c r="F87" s="44">
        <v>0</v>
      </c>
      <c r="G87" s="44">
        <v>0</v>
      </c>
      <c r="H87" s="44">
        <v>0</v>
      </c>
      <c r="I87" s="44">
        <v>0</v>
      </c>
      <c r="J87" s="44">
        <v>0</v>
      </c>
      <c r="K87" s="44">
        <v>0</v>
      </c>
      <c r="L87" s="44">
        <v>0</v>
      </c>
      <c r="M87" s="44">
        <v>0</v>
      </c>
      <c r="N87" s="44">
        <v>0</v>
      </c>
      <c r="O87" s="44">
        <v>0</v>
      </c>
      <c r="P87" s="44">
        <v>0</v>
      </c>
      <c r="Q87" s="44">
        <v>0</v>
      </c>
      <c r="R87" s="44">
        <v>0</v>
      </c>
      <c r="S87" s="44">
        <v>0</v>
      </c>
      <c r="T87" s="41">
        <v>1</v>
      </c>
    </row>
    <row r="88" spans="1:20" ht="15" customHeight="1" x14ac:dyDescent="0.4">
      <c r="A88" s="42" t="s">
        <v>586</v>
      </c>
      <c r="B88" s="41" t="s">
        <v>587</v>
      </c>
      <c r="C88" s="44">
        <v>0</v>
      </c>
      <c r="D88" s="44">
        <v>0</v>
      </c>
      <c r="E88" s="44">
        <v>0</v>
      </c>
      <c r="F88" s="44">
        <v>0</v>
      </c>
      <c r="G88" s="44">
        <v>0</v>
      </c>
      <c r="H88" s="44">
        <v>0</v>
      </c>
      <c r="I88" s="44">
        <v>0</v>
      </c>
      <c r="J88" s="44">
        <v>0</v>
      </c>
      <c r="K88" s="44">
        <v>0</v>
      </c>
      <c r="L88" s="44">
        <v>0</v>
      </c>
      <c r="M88" s="44">
        <v>0</v>
      </c>
      <c r="N88" s="44">
        <v>0</v>
      </c>
      <c r="O88" s="44">
        <v>0</v>
      </c>
      <c r="P88" s="44">
        <v>0</v>
      </c>
      <c r="Q88" s="44">
        <v>0</v>
      </c>
      <c r="R88" s="44">
        <v>0</v>
      </c>
      <c r="S88" s="44">
        <v>0</v>
      </c>
      <c r="T88" s="41">
        <v>1</v>
      </c>
    </row>
    <row r="89" spans="1:20" ht="15" customHeight="1" x14ac:dyDescent="0.4">
      <c r="A89" s="42" t="s">
        <v>588</v>
      </c>
      <c r="B89" s="41" t="s">
        <v>589</v>
      </c>
      <c r="C89" s="44">
        <v>0</v>
      </c>
      <c r="D89" s="44">
        <v>0</v>
      </c>
      <c r="E89" s="44">
        <v>0</v>
      </c>
      <c r="F89" s="44">
        <v>0</v>
      </c>
      <c r="G89" s="44">
        <v>0</v>
      </c>
      <c r="H89" s="44">
        <v>0</v>
      </c>
      <c r="I89" s="44">
        <v>0</v>
      </c>
      <c r="J89" s="44">
        <v>0</v>
      </c>
      <c r="K89" s="44">
        <v>0</v>
      </c>
      <c r="L89" s="44">
        <v>0</v>
      </c>
      <c r="M89" s="44">
        <v>0</v>
      </c>
      <c r="N89" s="44">
        <v>0</v>
      </c>
      <c r="O89" s="44">
        <v>0</v>
      </c>
      <c r="P89" s="44">
        <v>0</v>
      </c>
      <c r="Q89" s="44">
        <v>0</v>
      </c>
      <c r="R89" s="44">
        <v>0</v>
      </c>
      <c r="S89" s="44">
        <v>0</v>
      </c>
      <c r="T89" s="41">
        <v>1</v>
      </c>
    </row>
    <row r="90" spans="1:20" ht="15" customHeight="1" x14ac:dyDescent="0.4">
      <c r="A90" s="42" t="s">
        <v>590</v>
      </c>
      <c r="B90" s="41" t="s">
        <v>591</v>
      </c>
      <c r="C90" s="44">
        <v>0</v>
      </c>
      <c r="D90" s="44">
        <v>0</v>
      </c>
      <c r="E90" s="44">
        <v>0</v>
      </c>
      <c r="F90" s="44">
        <v>0</v>
      </c>
      <c r="G90" s="44">
        <v>0</v>
      </c>
      <c r="H90" s="44">
        <v>0</v>
      </c>
      <c r="I90" s="44">
        <v>0</v>
      </c>
      <c r="J90" s="44">
        <v>0</v>
      </c>
      <c r="K90" s="44">
        <v>0</v>
      </c>
      <c r="L90" s="44">
        <v>0</v>
      </c>
      <c r="M90" s="44">
        <v>0</v>
      </c>
      <c r="N90" s="44">
        <v>0</v>
      </c>
      <c r="O90" s="44">
        <v>0</v>
      </c>
      <c r="P90" s="44">
        <v>0</v>
      </c>
      <c r="Q90" s="44">
        <v>0</v>
      </c>
      <c r="R90" s="44">
        <v>0</v>
      </c>
      <c r="S90" s="44">
        <v>0</v>
      </c>
      <c r="T90" s="41">
        <v>1</v>
      </c>
    </row>
    <row r="91" spans="1:20" ht="15" customHeight="1" x14ac:dyDescent="0.4">
      <c r="A91" s="42" t="s">
        <v>592</v>
      </c>
      <c r="B91" s="41" t="s">
        <v>593</v>
      </c>
      <c r="C91" s="44">
        <v>0</v>
      </c>
      <c r="D91" s="44">
        <v>0</v>
      </c>
      <c r="E91" s="44">
        <v>0</v>
      </c>
      <c r="F91" s="44">
        <v>0</v>
      </c>
      <c r="G91" s="44">
        <v>0</v>
      </c>
      <c r="H91" s="44">
        <v>0</v>
      </c>
      <c r="I91" s="44">
        <v>0</v>
      </c>
      <c r="J91" s="44">
        <v>0</v>
      </c>
      <c r="K91" s="44">
        <v>0</v>
      </c>
      <c r="L91" s="44">
        <v>0</v>
      </c>
      <c r="M91" s="44">
        <v>0</v>
      </c>
      <c r="N91" s="44">
        <v>0</v>
      </c>
      <c r="O91" s="44">
        <v>0</v>
      </c>
      <c r="P91" s="44">
        <v>0</v>
      </c>
      <c r="Q91" s="44">
        <v>0</v>
      </c>
      <c r="R91" s="44">
        <v>0</v>
      </c>
      <c r="S91" s="44">
        <v>0</v>
      </c>
      <c r="T91" s="41">
        <v>1</v>
      </c>
    </row>
    <row r="92" spans="1:20" ht="15" customHeight="1" x14ac:dyDescent="0.4">
      <c r="A92" s="42" t="s">
        <v>594</v>
      </c>
      <c r="B92" s="41" t="s">
        <v>595</v>
      </c>
      <c r="C92" s="44">
        <v>0</v>
      </c>
      <c r="D92" s="44">
        <v>0</v>
      </c>
      <c r="E92" s="44">
        <v>0</v>
      </c>
      <c r="F92" s="44">
        <v>0</v>
      </c>
      <c r="G92" s="44">
        <v>0</v>
      </c>
      <c r="H92" s="44">
        <v>0</v>
      </c>
      <c r="I92" s="44">
        <v>0</v>
      </c>
      <c r="J92" s="44">
        <v>0</v>
      </c>
      <c r="K92" s="44">
        <v>0</v>
      </c>
      <c r="L92" s="44">
        <v>0</v>
      </c>
      <c r="M92" s="44">
        <v>0</v>
      </c>
      <c r="N92" s="44">
        <v>0</v>
      </c>
      <c r="O92" s="44">
        <v>0</v>
      </c>
      <c r="P92" s="44">
        <v>0</v>
      </c>
      <c r="Q92" s="44">
        <v>0</v>
      </c>
      <c r="R92" s="44">
        <v>0</v>
      </c>
      <c r="S92" s="44">
        <v>0</v>
      </c>
      <c r="T92" s="41">
        <v>1</v>
      </c>
    </row>
    <row r="93" spans="1:20" ht="15" customHeight="1" x14ac:dyDescent="0.4">
      <c r="A93" s="42" t="s">
        <v>596</v>
      </c>
      <c r="B93" s="41" t="s">
        <v>597</v>
      </c>
      <c r="C93" s="44">
        <v>0</v>
      </c>
      <c r="D93" s="44">
        <v>0</v>
      </c>
      <c r="E93" s="44">
        <v>0</v>
      </c>
      <c r="F93" s="44">
        <v>0</v>
      </c>
      <c r="G93" s="44">
        <v>0</v>
      </c>
      <c r="H93" s="44">
        <v>0</v>
      </c>
      <c r="I93" s="44">
        <v>0</v>
      </c>
      <c r="J93" s="44">
        <v>0</v>
      </c>
      <c r="K93" s="44">
        <v>0</v>
      </c>
      <c r="L93" s="44">
        <v>0</v>
      </c>
      <c r="M93" s="44">
        <v>0</v>
      </c>
      <c r="N93" s="44">
        <v>0</v>
      </c>
      <c r="O93" s="44">
        <v>0</v>
      </c>
      <c r="P93" s="44">
        <v>0</v>
      </c>
      <c r="Q93" s="44">
        <v>0</v>
      </c>
      <c r="R93" s="44">
        <v>0</v>
      </c>
      <c r="S93" s="44">
        <v>0</v>
      </c>
      <c r="T93" s="41">
        <v>1</v>
      </c>
    </row>
    <row r="94" spans="1:20" ht="15" customHeight="1" x14ac:dyDescent="0.4">
      <c r="A94" s="42" t="s">
        <v>598</v>
      </c>
      <c r="B94" s="41" t="s">
        <v>599</v>
      </c>
      <c r="C94" s="44">
        <v>0</v>
      </c>
      <c r="D94" s="44">
        <v>0</v>
      </c>
      <c r="E94" s="44">
        <v>0</v>
      </c>
      <c r="F94" s="44">
        <v>0</v>
      </c>
      <c r="G94" s="44">
        <v>0</v>
      </c>
      <c r="H94" s="44">
        <v>0</v>
      </c>
      <c r="I94" s="44">
        <v>0</v>
      </c>
      <c r="J94" s="44">
        <v>0</v>
      </c>
      <c r="K94" s="44">
        <v>0</v>
      </c>
      <c r="L94" s="44">
        <v>0</v>
      </c>
      <c r="M94" s="44">
        <v>0</v>
      </c>
      <c r="N94" s="44">
        <v>0</v>
      </c>
      <c r="O94" s="44">
        <v>0</v>
      </c>
      <c r="P94" s="44">
        <v>0</v>
      </c>
      <c r="Q94" s="44">
        <v>0</v>
      </c>
      <c r="R94" s="44">
        <v>0</v>
      </c>
      <c r="S94" s="44">
        <v>0</v>
      </c>
      <c r="T94" s="41">
        <v>1</v>
      </c>
    </row>
    <row r="95" spans="1:20" ht="15" customHeight="1" x14ac:dyDescent="0.4">
      <c r="A95" s="42" t="s">
        <v>600</v>
      </c>
      <c r="B95" s="41" t="s">
        <v>601</v>
      </c>
      <c r="C95" s="44">
        <v>0</v>
      </c>
      <c r="D95" s="44">
        <v>0</v>
      </c>
      <c r="E95" s="44">
        <v>0</v>
      </c>
      <c r="F95" s="44">
        <v>0</v>
      </c>
      <c r="G95" s="44">
        <v>0</v>
      </c>
      <c r="H95" s="44">
        <v>0</v>
      </c>
      <c r="I95" s="44">
        <v>0</v>
      </c>
      <c r="J95" s="44">
        <v>0</v>
      </c>
      <c r="K95" s="44">
        <v>0</v>
      </c>
      <c r="L95" s="44">
        <v>0</v>
      </c>
      <c r="M95" s="44">
        <v>0</v>
      </c>
      <c r="N95" s="44">
        <v>0</v>
      </c>
      <c r="O95" s="44">
        <v>0</v>
      </c>
      <c r="P95" s="44">
        <v>0</v>
      </c>
      <c r="Q95" s="44">
        <v>0</v>
      </c>
      <c r="R95" s="44">
        <v>0</v>
      </c>
      <c r="S95" s="44">
        <v>0</v>
      </c>
      <c r="T95" s="41">
        <v>1</v>
      </c>
    </row>
    <row r="96" spans="1:20" ht="15" customHeight="1" x14ac:dyDescent="0.4">
      <c r="A96" s="42" t="s">
        <v>602</v>
      </c>
      <c r="B96" s="41" t="s">
        <v>603</v>
      </c>
      <c r="C96" s="44">
        <v>0</v>
      </c>
      <c r="D96" s="44">
        <v>0</v>
      </c>
      <c r="E96" s="44">
        <v>0</v>
      </c>
      <c r="F96" s="44">
        <v>0</v>
      </c>
      <c r="G96" s="44">
        <v>0</v>
      </c>
      <c r="H96" s="44">
        <v>0</v>
      </c>
      <c r="I96" s="44">
        <v>0</v>
      </c>
      <c r="J96" s="44">
        <v>0</v>
      </c>
      <c r="K96" s="44">
        <v>0</v>
      </c>
      <c r="L96" s="44">
        <v>0</v>
      </c>
      <c r="M96" s="44">
        <v>0</v>
      </c>
      <c r="N96" s="44">
        <v>0</v>
      </c>
      <c r="O96" s="44">
        <v>0</v>
      </c>
      <c r="P96" s="44">
        <v>0</v>
      </c>
      <c r="Q96" s="44">
        <v>0</v>
      </c>
      <c r="R96" s="44">
        <v>0</v>
      </c>
      <c r="S96" s="44">
        <v>0</v>
      </c>
      <c r="T96" s="41">
        <v>1</v>
      </c>
    </row>
    <row r="97" spans="1:20" ht="15" customHeight="1" x14ac:dyDescent="0.4">
      <c r="A97" s="42" t="s">
        <v>604</v>
      </c>
      <c r="B97" s="41" t="s">
        <v>605</v>
      </c>
      <c r="C97" s="44">
        <v>0</v>
      </c>
      <c r="D97" s="44">
        <v>0</v>
      </c>
      <c r="E97" s="44">
        <v>0</v>
      </c>
      <c r="F97" s="44">
        <v>0</v>
      </c>
      <c r="G97" s="44">
        <v>0</v>
      </c>
      <c r="H97" s="44">
        <v>0</v>
      </c>
      <c r="I97" s="44">
        <v>0</v>
      </c>
      <c r="J97" s="44">
        <v>0</v>
      </c>
      <c r="K97" s="44">
        <v>0</v>
      </c>
      <c r="L97" s="44">
        <v>0</v>
      </c>
      <c r="M97" s="44">
        <v>0</v>
      </c>
      <c r="N97" s="44">
        <v>0</v>
      </c>
      <c r="O97" s="44">
        <v>0</v>
      </c>
      <c r="P97" s="44">
        <v>0</v>
      </c>
      <c r="Q97" s="44">
        <v>0</v>
      </c>
      <c r="R97" s="44">
        <v>0</v>
      </c>
      <c r="S97" s="44">
        <v>0</v>
      </c>
      <c r="T97" s="41">
        <v>1</v>
      </c>
    </row>
    <row r="98" spans="1:20" ht="15" customHeight="1" x14ac:dyDescent="0.4">
      <c r="A98" s="42" t="s">
        <v>606</v>
      </c>
      <c r="B98" s="41" t="s">
        <v>607</v>
      </c>
      <c r="C98" s="44">
        <v>0</v>
      </c>
      <c r="D98" s="44">
        <v>0</v>
      </c>
      <c r="E98" s="44">
        <v>0</v>
      </c>
      <c r="F98" s="44">
        <v>0</v>
      </c>
      <c r="G98" s="44">
        <v>0</v>
      </c>
      <c r="H98" s="44">
        <v>0</v>
      </c>
      <c r="I98" s="44">
        <v>0</v>
      </c>
      <c r="J98" s="44">
        <v>0</v>
      </c>
      <c r="K98" s="44">
        <v>0</v>
      </c>
      <c r="L98" s="44">
        <v>0</v>
      </c>
      <c r="M98" s="44">
        <v>0</v>
      </c>
      <c r="N98" s="44">
        <v>0</v>
      </c>
      <c r="O98" s="44">
        <v>0</v>
      </c>
      <c r="P98" s="44">
        <v>0</v>
      </c>
      <c r="Q98" s="44">
        <v>0</v>
      </c>
      <c r="R98" s="44">
        <v>0</v>
      </c>
      <c r="S98" s="44">
        <v>0</v>
      </c>
      <c r="T98" s="41">
        <v>1</v>
      </c>
    </row>
    <row r="99" spans="1:20" ht="15" customHeight="1" x14ac:dyDescent="0.4">
      <c r="A99" s="42" t="s">
        <v>608</v>
      </c>
      <c r="B99" s="41" t="s">
        <v>609</v>
      </c>
      <c r="C99" s="44">
        <v>0</v>
      </c>
      <c r="D99" s="44">
        <v>0</v>
      </c>
      <c r="E99" s="44">
        <v>0</v>
      </c>
      <c r="F99" s="44">
        <v>0</v>
      </c>
      <c r="G99" s="44">
        <v>0</v>
      </c>
      <c r="H99" s="44">
        <v>0</v>
      </c>
      <c r="I99" s="44">
        <v>0</v>
      </c>
      <c r="J99" s="44">
        <v>0</v>
      </c>
      <c r="K99" s="44">
        <v>0</v>
      </c>
      <c r="L99" s="44">
        <v>0</v>
      </c>
      <c r="M99" s="44">
        <v>0</v>
      </c>
      <c r="N99" s="44">
        <v>0</v>
      </c>
      <c r="O99" s="44">
        <v>0</v>
      </c>
      <c r="P99" s="44">
        <v>0</v>
      </c>
      <c r="Q99" s="44">
        <v>0</v>
      </c>
      <c r="R99" s="44">
        <v>0</v>
      </c>
      <c r="S99" s="44">
        <v>0</v>
      </c>
      <c r="T99" s="41">
        <v>1</v>
      </c>
    </row>
    <row r="100" spans="1:20" ht="15" customHeight="1" x14ac:dyDescent="0.4">
      <c r="A100" s="42" t="s">
        <v>610</v>
      </c>
      <c r="B100" s="41" t="s">
        <v>611</v>
      </c>
      <c r="C100" s="44">
        <v>0</v>
      </c>
      <c r="D100" s="44">
        <v>0</v>
      </c>
      <c r="E100" s="44">
        <v>0</v>
      </c>
      <c r="F100" s="44">
        <v>0</v>
      </c>
      <c r="G100" s="44">
        <v>0</v>
      </c>
      <c r="H100" s="44">
        <v>0</v>
      </c>
      <c r="I100" s="44">
        <v>0</v>
      </c>
      <c r="J100" s="44">
        <v>0</v>
      </c>
      <c r="K100" s="44">
        <v>0</v>
      </c>
      <c r="L100" s="44">
        <v>0</v>
      </c>
      <c r="M100" s="44">
        <v>0</v>
      </c>
      <c r="N100" s="44">
        <v>0</v>
      </c>
      <c r="O100" s="44">
        <v>0</v>
      </c>
      <c r="P100" s="44">
        <v>0</v>
      </c>
      <c r="Q100" s="44">
        <v>0</v>
      </c>
      <c r="R100" s="44">
        <v>0</v>
      </c>
      <c r="S100" s="44">
        <v>0</v>
      </c>
      <c r="T100" s="41">
        <v>1</v>
      </c>
    </row>
    <row r="101" spans="1:20" ht="15" customHeight="1" x14ac:dyDescent="0.4">
      <c r="A101" s="42" t="s">
        <v>612</v>
      </c>
      <c r="B101" s="41" t="s">
        <v>613</v>
      </c>
      <c r="C101" s="44">
        <v>0</v>
      </c>
      <c r="D101" s="44">
        <v>0</v>
      </c>
      <c r="E101" s="44">
        <v>0</v>
      </c>
      <c r="F101" s="44">
        <v>0</v>
      </c>
      <c r="G101" s="44">
        <v>0</v>
      </c>
      <c r="H101" s="44">
        <v>0</v>
      </c>
      <c r="I101" s="44">
        <v>0</v>
      </c>
      <c r="J101" s="44">
        <v>0</v>
      </c>
      <c r="K101" s="44">
        <v>0</v>
      </c>
      <c r="L101" s="44">
        <v>0</v>
      </c>
      <c r="M101" s="44">
        <v>0</v>
      </c>
      <c r="N101" s="44">
        <v>0</v>
      </c>
      <c r="O101" s="44">
        <v>0</v>
      </c>
      <c r="P101" s="44">
        <v>0</v>
      </c>
      <c r="Q101" s="44">
        <v>0</v>
      </c>
      <c r="R101" s="44">
        <v>0</v>
      </c>
      <c r="S101" s="44">
        <v>0</v>
      </c>
      <c r="T101" s="41">
        <v>1</v>
      </c>
    </row>
    <row r="102" spans="1:20" ht="15" customHeight="1" x14ac:dyDescent="0.4">
      <c r="A102" s="42" t="s">
        <v>614</v>
      </c>
      <c r="B102" s="41" t="s">
        <v>615</v>
      </c>
      <c r="C102" s="44">
        <v>0</v>
      </c>
      <c r="D102" s="44">
        <v>0</v>
      </c>
      <c r="E102" s="44">
        <v>0</v>
      </c>
      <c r="F102" s="44">
        <v>0</v>
      </c>
      <c r="G102" s="44">
        <v>0</v>
      </c>
      <c r="H102" s="44">
        <v>0</v>
      </c>
      <c r="I102" s="44">
        <v>0</v>
      </c>
      <c r="J102" s="44">
        <v>0</v>
      </c>
      <c r="K102" s="44">
        <v>0</v>
      </c>
      <c r="L102" s="44">
        <v>0</v>
      </c>
      <c r="M102" s="44">
        <v>0</v>
      </c>
      <c r="N102" s="44">
        <v>0</v>
      </c>
      <c r="O102" s="44">
        <v>0</v>
      </c>
      <c r="P102" s="44">
        <v>0</v>
      </c>
      <c r="Q102" s="44">
        <v>0</v>
      </c>
      <c r="R102" s="44">
        <v>0</v>
      </c>
      <c r="S102" s="44">
        <v>0</v>
      </c>
      <c r="T102" s="41">
        <v>1</v>
      </c>
    </row>
    <row r="103" spans="1:20" ht="15" customHeight="1" x14ac:dyDescent="0.4">
      <c r="A103" s="42" t="s">
        <v>616</v>
      </c>
      <c r="B103" s="41" t="s">
        <v>617</v>
      </c>
      <c r="C103" s="44">
        <v>0</v>
      </c>
      <c r="D103" s="44">
        <v>0</v>
      </c>
      <c r="E103" s="44">
        <v>0</v>
      </c>
      <c r="F103" s="44">
        <v>0</v>
      </c>
      <c r="G103" s="44">
        <v>0</v>
      </c>
      <c r="H103" s="44">
        <v>0</v>
      </c>
      <c r="I103" s="44">
        <v>0</v>
      </c>
      <c r="J103" s="44">
        <v>0</v>
      </c>
      <c r="K103" s="44">
        <v>0</v>
      </c>
      <c r="L103" s="44">
        <v>0</v>
      </c>
      <c r="M103" s="44">
        <v>0</v>
      </c>
      <c r="N103" s="44">
        <v>0</v>
      </c>
      <c r="O103" s="44">
        <v>0</v>
      </c>
      <c r="P103" s="44">
        <v>0</v>
      </c>
      <c r="Q103" s="44">
        <v>0</v>
      </c>
      <c r="R103" s="44">
        <v>0</v>
      </c>
      <c r="S103" s="44">
        <v>0</v>
      </c>
      <c r="T103" s="41">
        <v>1</v>
      </c>
    </row>
    <row r="104" spans="1:20" ht="15" customHeight="1" x14ac:dyDescent="0.4">
      <c r="A104" s="42" t="s">
        <v>618</v>
      </c>
      <c r="B104" s="41" t="s">
        <v>619</v>
      </c>
      <c r="C104" s="44">
        <v>0</v>
      </c>
      <c r="D104" s="44">
        <v>0</v>
      </c>
      <c r="E104" s="44">
        <v>0</v>
      </c>
      <c r="F104" s="44">
        <v>0</v>
      </c>
      <c r="G104" s="44">
        <v>0</v>
      </c>
      <c r="H104" s="44">
        <v>0</v>
      </c>
      <c r="I104" s="44">
        <v>0</v>
      </c>
      <c r="J104" s="44">
        <v>0</v>
      </c>
      <c r="K104" s="44">
        <v>0</v>
      </c>
      <c r="L104" s="44">
        <v>0</v>
      </c>
      <c r="M104" s="44">
        <v>0</v>
      </c>
      <c r="N104" s="44">
        <v>0</v>
      </c>
      <c r="O104" s="44">
        <v>0</v>
      </c>
      <c r="P104" s="44">
        <v>0</v>
      </c>
      <c r="Q104" s="44">
        <v>0</v>
      </c>
      <c r="R104" s="44">
        <v>0</v>
      </c>
      <c r="S104" s="44">
        <v>0</v>
      </c>
      <c r="T104" s="41">
        <v>1</v>
      </c>
    </row>
    <row r="105" spans="1:20" ht="15" customHeight="1" x14ac:dyDescent="0.4">
      <c r="A105" s="42" t="s">
        <v>620</v>
      </c>
      <c r="B105" s="41" t="s">
        <v>621</v>
      </c>
      <c r="C105" s="43">
        <v>457999585.12</v>
      </c>
      <c r="D105" s="43">
        <v>457999585.12</v>
      </c>
      <c r="E105" s="43">
        <v>178571.43</v>
      </c>
      <c r="F105" s="44">
        <v>0</v>
      </c>
      <c r="G105" s="44">
        <v>0</v>
      </c>
      <c r="H105" s="44">
        <v>0</v>
      </c>
      <c r="I105" s="44">
        <v>0</v>
      </c>
      <c r="J105" s="44">
        <v>0</v>
      </c>
      <c r="K105" s="44">
        <v>0</v>
      </c>
      <c r="L105" s="44">
        <v>0</v>
      </c>
      <c r="M105" s="44">
        <v>0</v>
      </c>
      <c r="N105" s="44">
        <v>0</v>
      </c>
      <c r="O105" s="44">
        <v>0</v>
      </c>
      <c r="P105" s="44">
        <v>0</v>
      </c>
      <c r="Q105" s="44">
        <v>0</v>
      </c>
      <c r="R105" s="44">
        <v>0</v>
      </c>
      <c r="S105" s="43">
        <v>-457999585.12</v>
      </c>
      <c r="T105" s="41">
        <v>1</v>
      </c>
    </row>
    <row r="106" spans="1:20" ht="15" customHeight="1" x14ac:dyDescent="0.4">
      <c r="A106" s="42" t="s">
        <v>622</v>
      </c>
      <c r="B106" s="41" t="s">
        <v>623</v>
      </c>
      <c r="C106" s="44">
        <v>0</v>
      </c>
      <c r="D106" s="44">
        <v>0</v>
      </c>
      <c r="E106" s="44">
        <v>0</v>
      </c>
      <c r="F106" s="44">
        <v>0</v>
      </c>
      <c r="G106" s="44">
        <v>0</v>
      </c>
      <c r="H106" s="44">
        <v>0</v>
      </c>
      <c r="I106" s="44">
        <v>0</v>
      </c>
      <c r="J106" s="44">
        <v>0</v>
      </c>
      <c r="K106" s="44">
        <v>0</v>
      </c>
      <c r="L106" s="44">
        <v>0</v>
      </c>
      <c r="M106" s="44">
        <v>0</v>
      </c>
      <c r="N106" s="44">
        <v>0</v>
      </c>
      <c r="O106" s="44">
        <v>0</v>
      </c>
      <c r="P106" s="44">
        <v>0</v>
      </c>
      <c r="Q106" s="44">
        <v>0</v>
      </c>
      <c r="R106" s="44">
        <v>0</v>
      </c>
      <c r="S106" s="44">
        <v>0</v>
      </c>
      <c r="T106" s="41">
        <v>1</v>
      </c>
    </row>
    <row r="107" spans="1:20" ht="15" customHeight="1" x14ac:dyDescent="0.4">
      <c r="A107" s="42" t="s">
        <v>624</v>
      </c>
      <c r="B107" s="41" t="s">
        <v>355</v>
      </c>
      <c r="C107" s="44">
        <v>0</v>
      </c>
      <c r="D107" s="44">
        <v>0</v>
      </c>
      <c r="E107" s="44">
        <v>0</v>
      </c>
      <c r="F107" s="44">
        <v>0</v>
      </c>
      <c r="G107" s="44">
        <v>0</v>
      </c>
      <c r="H107" s="44">
        <v>0</v>
      </c>
      <c r="I107" s="44">
        <v>0</v>
      </c>
      <c r="J107" s="44">
        <v>0</v>
      </c>
      <c r="K107" s="44">
        <v>0</v>
      </c>
      <c r="L107" s="44">
        <v>0</v>
      </c>
      <c r="M107" s="44">
        <v>0</v>
      </c>
      <c r="N107" s="44">
        <v>0</v>
      </c>
      <c r="O107" s="44">
        <v>0</v>
      </c>
      <c r="P107" s="44">
        <v>0</v>
      </c>
      <c r="Q107" s="44">
        <v>0</v>
      </c>
      <c r="R107" s="44">
        <v>0</v>
      </c>
      <c r="S107" s="44">
        <v>0</v>
      </c>
      <c r="T107" s="41">
        <v>1</v>
      </c>
    </row>
    <row r="108" spans="1:20" ht="15" customHeight="1" x14ac:dyDescent="0.4">
      <c r="A108" s="42" t="s">
        <v>625</v>
      </c>
      <c r="B108" s="41" t="s">
        <v>626</v>
      </c>
      <c r="C108" s="44">
        <v>0</v>
      </c>
      <c r="D108" s="44">
        <v>0</v>
      </c>
      <c r="E108" s="44">
        <v>0</v>
      </c>
      <c r="F108" s="44">
        <v>0</v>
      </c>
      <c r="G108" s="44">
        <v>0</v>
      </c>
      <c r="H108" s="44">
        <v>0</v>
      </c>
      <c r="I108" s="44">
        <v>0</v>
      </c>
      <c r="J108" s="44">
        <v>0</v>
      </c>
      <c r="K108" s="44">
        <v>0</v>
      </c>
      <c r="L108" s="44">
        <v>0</v>
      </c>
      <c r="M108" s="44">
        <v>0</v>
      </c>
      <c r="N108" s="44">
        <v>0</v>
      </c>
      <c r="O108" s="44">
        <v>0</v>
      </c>
      <c r="P108" s="44">
        <v>0</v>
      </c>
      <c r="Q108" s="44">
        <v>0</v>
      </c>
      <c r="R108" s="44">
        <v>0</v>
      </c>
      <c r="S108" s="44">
        <v>0</v>
      </c>
      <c r="T108" s="41">
        <v>1</v>
      </c>
    </row>
    <row r="109" spans="1:20" ht="15" customHeight="1" x14ac:dyDescent="0.4">
      <c r="A109" s="37" t="s">
        <v>627</v>
      </c>
      <c r="B109" s="38" t="s">
        <v>628</v>
      </c>
      <c r="C109" s="39">
        <v>360362272.95999998</v>
      </c>
      <c r="D109" s="39">
        <v>756318976.19000006</v>
      </c>
      <c r="E109" s="39">
        <v>5058816067.4300003</v>
      </c>
      <c r="F109" s="39">
        <v>1126939216.8800001</v>
      </c>
      <c r="G109" s="39">
        <v>456083558.45999998</v>
      </c>
      <c r="H109" s="39">
        <v>659415149.70000005</v>
      </c>
      <c r="I109" s="40">
        <v>0</v>
      </c>
      <c r="J109" s="40">
        <v>0</v>
      </c>
      <c r="K109" s="40">
        <v>0</v>
      </c>
      <c r="L109" s="40">
        <v>0</v>
      </c>
      <c r="M109" s="40">
        <v>0</v>
      </c>
      <c r="N109" s="40">
        <v>0</v>
      </c>
      <c r="O109" s="40">
        <v>0</v>
      </c>
      <c r="P109" s="40">
        <v>0</v>
      </c>
      <c r="Q109" s="40">
        <v>0</v>
      </c>
      <c r="R109" s="39">
        <v>2242437925.04</v>
      </c>
      <c r="S109" s="39">
        <v>1486118948.8499999</v>
      </c>
      <c r="T109" s="41">
        <v>2</v>
      </c>
    </row>
    <row r="110" spans="1:20" ht="15" customHeight="1" x14ac:dyDescent="0.4">
      <c r="A110" s="42" t="s">
        <v>629</v>
      </c>
      <c r="B110" s="41" t="s">
        <v>630</v>
      </c>
      <c r="C110" s="43">
        <v>23604030</v>
      </c>
      <c r="D110" s="43">
        <v>23604030</v>
      </c>
      <c r="E110" s="43">
        <v>65321268</v>
      </c>
      <c r="F110" s="44">
        <v>0</v>
      </c>
      <c r="G110" s="44">
        <v>0</v>
      </c>
      <c r="H110" s="43">
        <v>18932363</v>
      </c>
      <c r="I110" s="44">
        <v>0</v>
      </c>
      <c r="J110" s="44">
        <v>0</v>
      </c>
      <c r="K110" s="44">
        <v>0</v>
      </c>
      <c r="L110" s="44">
        <v>0</v>
      </c>
      <c r="M110" s="44">
        <v>0</v>
      </c>
      <c r="N110" s="44">
        <v>0</v>
      </c>
      <c r="O110" s="44">
        <v>0</v>
      </c>
      <c r="P110" s="44">
        <v>0</v>
      </c>
      <c r="Q110" s="44">
        <v>0</v>
      </c>
      <c r="R110" s="43">
        <v>18932363</v>
      </c>
      <c r="S110" s="43">
        <v>-4671667</v>
      </c>
      <c r="T110" s="41">
        <v>1</v>
      </c>
    </row>
    <row r="111" spans="1:20" ht="15" customHeight="1" x14ac:dyDescent="0.4">
      <c r="A111" s="42" t="s">
        <v>631</v>
      </c>
      <c r="B111" s="41" t="s">
        <v>632</v>
      </c>
      <c r="C111" s="44">
        <v>0</v>
      </c>
      <c r="D111" s="44">
        <v>0</v>
      </c>
      <c r="E111" s="44">
        <v>0</v>
      </c>
      <c r="F111" s="44">
        <v>0</v>
      </c>
      <c r="G111" s="44">
        <v>0</v>
      </c>
      <c r="H111" s="44">
        <v>0</v>
      </c>
      <c r="I111" s="44">
        <v>0</v>
      </c>
      <c r="J111" s="44">
        <v>0</v>
      </c>
      <c r="K111" s="44">
        <v>0</v>
      </c>
      <c r="L111" s="44">
        <v>0</v>
      </c>
      <c r="M111" s="44">
        <v>0</v>
      </c>
      <c r="N111" s="44">
        <v>0</v>
      </c>
      <c r="O111" s="44">
        <v>0</v>
      </c>
      <c r="P111" s="44">
        <v>0</v>
      </c>
      <c r="Q111" s="44">
        <v>0</v>
      </c>
      <c r="R111" s="44">
        <v>0</v>
      </c>
      <c r="S111" s="44">
        <v>0</v>
      </c>
      <c r="T111" s="41">
        <v>1</v>
      </c>
    </row>
    <row r="112" spans="1:20" ht="15" customHeight="1" x14ac:dyDescent="0.4">
      <c r="A112" s="42" t="s">
        <v>633</v>
      </c>
      <c r="B112" s="41" t="s">
        <v>634</v>
      </c>
      <c r="C112" s="44">
        <v>0</v>
      </c>
      <c r="D112" s="44">
        <v>0</v>
      </c>
      <c r="E112" s="44">
        <v>0</v>
      </c>
      <c r="F112" s="43">
        <v>22052995.960000001</v>
      </c>
      <c r="G112" s="43">
        <v>16288875.41</v>
      </c>
      <c r="H112" s="43">
        <v>17946667.440000001</v>
      </c>
      <c r="I112" s="44">
        <v>0</v>
      </c>
      <c r="J112" s="44">
        <v>0</v>
      </c>
      <c r="K112" s="44">
        <v>0</v>
      </c>
      <c r="L112" s="44">
        <v>0</v>
      </c>
      <c r="M112" s="44">
        <v>0</v>
      </c>
      <c r="N112" s="44">
        <v>0</v>
      </c>
      <c r="O112" s="44">
        <v>0</v>
      </c>
      <c r="P112" s="44">
        <v>0</v>
      </c>
      <c r="Q112" s="44">
        <v>0</v>
      </c>
      <c r="R112" s="43">
        <v>56288538.810000002</v>
      </c>
      <c r="S112" s="43">
        <v>56288538.810000002</v>
      </c>
      <c r="T112" s="41">
        <v>1</v>
      </c>
    </row>
    <row r="113" spans="1:20" ht="15" customHeight="1" x14ac:dyDescent="0.4">
      <c r="A113" s="42" t="s">
        <v>635</v>
      </c>
      <c r="B113" s="41" t="s">
        <v>636</v>
      </c>
      <c r="C113" s="43">
        <v>330620762.13</v>
      </c>
      <c r="D113" s="43">
        <v>725940820.00999999</v>
      </c>
      <c r="E113" s="43">
        <v>4982425778.1800003</v>
      </c>
      <c r="F113" s="43">
        <v>1104886220.9200001</v>
      </c>
      <c r="G113" s="43">
        <v>439794683.05000001</v>
      </c>
      <c r="H113" s="43">
        <v>622536119.25999999</v>
      </c>
      <c r="I113" s="44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3">
        <v>2167217023.23</v>
      </c>
      <c r="S113" s="43">
        <v>1441276203.22</v>
      </c>
      <c r="T113" s="41">
        <v>1</v>
      </c>
    </row>
    <row r="114" spans="1:20" ht="15" customHeight="1" x14ac:dyDescent="0.4">
      <c r="A114" s="42" t="s">
        <v>637</v>
      </c>
      <c r="B114" s="41" t="s">
        <v>638</v>
      </c>
      <c r="C114" s="44">
        <v>0</v>
      </c>
      <c r="D114" s="44">
        <v>0</v>
      </c>
      <c r="E114" s="44">
        <v>0</v>
      </c>
      <c r="F114" s="44">
        <v>0</v>
      </c>
      <c r="G114" s="44">
        <v>0</v>
      </c>
      <c r="H114" s="44">
        <v>0</v>
      </c>
      <c r="I114" s="44">
        <v>0</v>
      </c>
      <c r="J114" s="44">
        <v>0</v>
      </c>
      <c r="K114" s="44">
        <v>0</v>
      </c>
      <c r="L114" s="44">
        <v>0</v>
      </c>
      <c r="M114" s="44">
        <v>0</v>
      </c>
      <c r="N114" s="44">
        <v>0</v>
      </c>
      <c r="O114" s="44">
        <v>0</v>
      </c>
      <c r="P114" s="44">
        <v>0</v>
      </c>
      <c r="Q114" s="44">
        <v>0</v>
      </c>
      <c r="R114" s="44">
        <v>0</v>
      </c>
      <c r="S114" s="44">
        <v>0</v>
      </c>
      <c r="T114" s="41">
        <v>1</v>
      </c>
    </row>
    <row r="115" spans="1:20" ht="15" customHeight="1" x14ac:dyDescent="0.4">
      <c r="A115" s="42" t="s">
        <v>639</v>
      </c>
      <c r="B115" s="41" t="s">
        <v>640</v>
      </c>
      <c r="C115" s="44">
        <v>0</v>
      </c>
      <c r="D115" s="44">
        <v>0</v>
      </c>
      <c r="E115" s="44">
        <v>0</v>
      </c>
      <c r="F115" s="44">
        <v>0</v>
      </c>
      <c r="G115" s="44">
        <v>0</v>
      </c>
      <c r="H115" s="44">
        <v>0</v>
      </c>
      <c r="I115" s="44">
        <v>0</v>
      </c>
      <c r="J115" s="44">
        <v>0</v>
      </c>
      <c r="K115" s="44">
        <v>0</v>
      </c>
      <c r="L115" s="44">
        <v>0</v>
      </c>
      <c r="M115" s="44">
        <v>0</v>
      </c>
      <c r="N115" s="44">
        <v>0</v>
      </c>
      <c r="O115" s="44">
        <v>0</v>
      </c>
      <c r="P115" s="44">
        <v>0</v>
      </c>
      <c r="Q115" s="44">
        <v>0</v>
      </c>
      <c r="R115" s="44">
        <v>0</v>
      </c>
      <c r="S115" s="44">
        <v>0</v>
      </c>
      <c r="T115" s="41">
        <v>1</v>
      </c>
    </row>
    <row r="116" spans="1:20" ht="15" customHeight="1" x14ac:dyDescent="0.4">
      <c r="A116" s="42" t="s">
        <v>641</v>
      </c>
      <c r="B116" s="41" t="s">
        <v>642</v>
      </c>
      <c r="C116" s="44">
        <v>0</v>
      </c>
      <c r="D116" s="44">
        <v>0</v>
      </c>
      <c r="E116" s="44">
        <v>0</v>
      </c>
      <c r="F116" s="44">
        <v>0</v>
      </c>
      <c r="G116" s="44">
        <v>0</v>
      </c>
      <c r="H116" s="44">
        <v>0</v>
      </c>
      <c r="I116" s="44">
        <v>0</v>
      </c>
      <c r="J116" s="44">
        <v>0</v>
      </c>
      <c r="K116" s="44">
        <v>0</v>
      </c>
      <c r="L116" s="44">
        <v>0</v>
      </c>
      <c r="M116" s="44">
        <v>0</v>
      </c>
      <c r="N116" s="44">
        <v>0</v>
      </c>
      <c r="O116" s="44">
        <v>0</v>
      </c>
      <c r="P116" s="44">
        <v>0</v>
      </c>
      <c r="Q116" s="44">
        <v>0</v>
      </c>
      <c r="R116" s="44">
        <v>0</v>
      </c>
      <c r="S116" s="44">
        <v>0</v>
      </c>
      <c r="T116" s="41">
        <v>1</v>
      </c>
    </row>
    <row r="117" spans="1:20" ht="15" customHeight="1" x14ac:dyDescent="0.4">
      <c r="A117" s="42" t="s">
        <v>643</v>
      </c>
      <c r="B117" s="41" t="s">
        <v>644</v>
      </c>
      <c r="C117" s="44">
        <v>0</v>
      </c>
      <c r="D117" s="44">
        <v>0</v>
      </c>
      <c r="E117" s="44">
        <v>0</v>
      </c>
      <c r="F117" s="44">
        <v>0</v>
      </c>
      <c r="G117" s="44">
        <v>0</v>
      </c>
      <c r="H117" s="44">
        <v>0</v>
      </c>
      <c r="I117" s="44">
        <v>0</v>
      </c>
      <c r="J117" s="44">
        <v>0</v>
      </c>
      <c r="K117" s="44">
        <v>0</v>
      </c>
      <c r="L117" s="44">
        <v>0</v>
      </c>
      <c r="M117" s="44">
        <v>0</v>
      </c>
      <c r="N117" s="44">
        <v>0</v>
      </c>
      <c r="O117" s="44">
        <v>0</v>
      </c>
      <c r="P117" s="44">
        <v>0</v>
      </c>
      <c r="Q117" s="44">
        <v>0</v>
      </c>
      <c r="R117" s="44">
        <v>0</v>
      </c>
      <c r="S117" s="44">
        <v>0</v>
      </c>
      <c r="T117" s="41">
        <v>1</v>
      </c>
    </row>
    <row r="118" spans="1:20" ht="15" customHeight="1" x14ac:dyDescent="0.4">
      <c r="A118" s="42" t="s">
        <v>645</v>
      </c>
      <c r="B118" s="41" t="s">
        <v>646</v>
      </c>
      <c r="C118" s="44">
        <v>0</v>
      </c>
      <c r="D118" s="44">
        <v>0</v>
      </c>
      <c r="E118" s="44">
        <v>0</v>
      </c>
      <c r="F118" s="44">
        <v>0</v>
      </c>
      <c r="G118" s="44">
        <v>0</v>
      </c>
      <c r="H118" s="44">
        <v>0</v>
      </c>
      <c r="I118" s="44">
        <v>0</v>
      </c>
      <c r="J118" s="44">
        <v>0</v>
      </c>
      <c r="K118" s="44">
        <v>0</v>
      </c>
      <c r="L118" s="44">
        <v>0</v>
      </c>
      <c r="M118" s="44">
        <v>0</v>
      </c>
      <c r="N118" s="44">
        <v>0</v>
      </c>
      <c r="O118" s="44">
        <v>0</v>
      </c>
      <c r="P118" s="44">
        <v>0</v>
      </c>
      <c r="Q118" s="44">
        <v>0</v>
      </c>
      <c r="R118" s="44">
        <v>0</v>
      </c>
      <c r="S118" s="44">
        <v>0</v>
      </c>
      <c r="T118" s="41">
        <v>1</v>
      </c>
    </row>
    <row r="119" spans="1:20" ht="15" customHeight="1" x14ac:dyDescent="0.4">
      <c r="A119" s="42" t="s">
        <v>647</v>
      </c>
      <c r="B119" s="41" t="s">
        <v>648</v>
      </c>
      <c r="C119" s="44">
        <v>0</v>
      </c>
      <c r="D119" s="44">
        <v>0</v>
      </c>
      <c r="E119" s="44">
        <v>0</v>
      </c>
      <c r="F119" s="44">
        <v>0</v>
      </c>
      <c r="G119" s="44">
        <v>0</v>
      </c>
      <c r="H119" s="44">
        <v>0</v>
      </c>
      <c r="I119" s="44">
        <v>0</v>
      </c>
      <c r="J119" s="44">
        <v>0</v>
      </c>
      <c r="K119" s="44">
        <v>0</v>
      </c>
      <c r="L119" s="44">
        <v>0</v>
      </c>
      <c r="M119" s="44">
        <v>0</v>
      </c>
      <c r="N119" s="44">
        <v>0</v>
      </c>
      <c r="O119" s="44">
        <v>0</v>
      </c>
      <c r="P119" s="44">
        <v>0</v>
      </c>
      <c r="Q119" s="44">
        <v>0</v>
      </c>
      <c r="R119" s="44">
        <v>0</v>
      </c>
      <c r="S119" s="44">
        <v>0</v>
      </c>
      <c r="T119" s="41">
        <v>1</v>
      </c>
    </row>
    <row r="120" spans="1:20" ht="15" customHeight="1" x14ac:dyDescent="0.4">
      <c r="A120" s="42" t="s">
        <v>649</v>
      </c>
      <c r="B120" s="41" t="s">
        <v>650</v>
      </c>
      <c r="C120" s="44">
        <v>0</v>
      </c>
      <c r="D120" s="44">
        <v>0</v>
      </c>
      <c r="E120" s="44">
        <v>0</v>
      </c>
      <c r="F120" s="44">
        <v>0</v>
      </c>
      <c r="G120" s="44">
        <v>0</v>
      </c>
      <c r="H120" s="44">
        <v>0</v>
      </c>
      <c r="I120" s="44">
        <v>0</v>
      </c>
      <c r="J120" s="44">
        <v>0</v>
      </c>
      <c r="K120" s="44">
        <v>0</v>
      </c>
      <c r="L120" s="44">
        <v>0</v>
      </c>
      <c r="M120" s="44">
        <v>0</v>
      </c>
      <c r="N120" s="44">
        <v>0</v>
      </c>
      <c r="O120" s="44">
        <v>0</v>
      </c>
      <c r="P120" s="44">
        <v>0</v>
      </c>
      <c r="Q120" s="44">
        <v>0</v>
      </c>
      <c r="R120" s="44">
        <v>0</v>
      </c>
      <c r="S120" s="44">
        <v>0</v>
      </c>
      <c r="T120" s="41">
        <v>1</v>
      </c>
    </row>
    <row r="121" spans="1:20" ht="15" customHeight="1" x14ac:dyDescent="0.4">
      <c r="A121" s="42" t="s">
        <v>651</v>
      </c>
      <c r="B121" s="41" t="s">
        <v>652</v>
      </c>
      <c r="C121" s="44">
        <v>0</v>
      </c>
      <c r="D121" s="44">
        <v>0</v>
      </c>
      <c r="E121" s="44">
        <v>0</v>
      </c>
      <c r="F121" s="44">
        <v>0</v>
      </c>
      <c r="G121" s="44">
        <v>0</v>
      </c>
      <c r="H121" s="44">
        <v>0</v>
      </c>
      <c r="I121" s="44">
        <v>0</v>
      </c>
      <c r="J121" s="44">
        <v>0</v>
      </c>
      <c r="K121" s="44">
        <v>0</v>
      </c>
      <c r="L121" s="44">
        <v>0</v>
      </c>
      <c r="M121" s="44">
        <v>0</v>
      </c>
      <c r="N121" s="44">
        <v>0</v>
      </c>
      <c r="O121" s="44">
        <v>0</v>
      </c>
      <c r="P121" s="44">
        <v>0</v>
      </c>
      <c r="Q121" s="44">
        <v>0</v>
      </c>
      <c r="R121" s="44">
        <v>0</v>
      </c>
      <c r="S121" s="44">
        <v>0</v>
      </c>
      <c r="T121" s="41">
        <v>1</v>
      </c>
    </row>
    <row r="122" spans="1:20" ht="15" customHeight="1" x14ac:dyDescent="0.4">
      <c r="A122" s="42" t="s">
        <v>653</v>
      </c>
      <c r="B122" s="41" t="s">
        <v>654</v>
      </c>
      <c r="C122" s="44">
        <v>0</v>
      </c>
      <c r="D122" s="44">
        <v>0</v>
      </c>
      <c r="E122" s="44">
        <v>0</v>
      </c>
      <c r="F122" s="44">
        <v>0</v>
      </c>
      <c r="G122" s="44">
        <v>0</v>
      </c>
      <c r="H122" s="44">
        <v>0</v>
      </c>
      <c r="I122" s="44">
        <v>0</v>
      </c>
      <c r="J122" s="44">
        <v>0</v>
      </c>
      <c r="K122" s="44">
        <v>0</v>
      </c>
      <c r="L122" s="44">
        <v>0</v>
      </c>
      <c r="M122" s="44">
        <v>0</v>
      </c>
      <c r="N122" s="44">
        <v>0</v>
      </c>
      <c r="O122" s="44">
        <v>0</v>
      </c>
      <c r="P122" s="44">
        <v>0</v>
      </c>
      <c r="Q122" s="44">
        <v>0</v>
      </c>
      <c r="R122" s="44">
        <v>0</v>
      </c>
      <c r="S122" s="44">
        <v>0</v>
      </c>
      <c r="T122" s="41">
        <v>1</v>
      </c>
    </row>
    <row r="123" spans="1:20" ht="15" customHeight="1" x14ac:dyDescent="0.4">
      <c r="A123" s="42" t="s">
        <v>655</v>
      </c>
      <c r="B123" s="41" t="s">
        <v>656</v>
      </c>
      <c r="C123" s="44">
        <v>0</v>
      </c>
      <c r="D123" s="44">
        <v>0</v>
      </c>
      <c r="E123" s="44">
        <v>0</v>
      </c>
      <c r="F123" s="44">
        <v>0</v>
      </c>
      <c r="G123" s="44">
        <v>0</v>
      </c>
      <c r="H123" s="44">
        <v>0</v>
      </c>
      <c r="I123" s="44">
        <v>0</v>
      </c>
      <c r="J123" s="44">
        <v>0</v>
      </c>
      <c r="K123" s="44">
        <v>0</v>
      </c>
      <c r="L123" s="44">
        <v>0</v>
      </c>
      <c r="M123" s="44">
        <v>0</v>
      </c>
      <c r="N123" s="44">
        <v>0</v>
      </c>
      <c r="O123" s="44">
        <v>0</v>
      </c>
      <c r="P123" s="44">
        <v>0</v>
      </c>
      <c r="Q123" s="44">
        <v>0</v>
      </c>
      <c r="R123" s="44">
        <v>0</v>
      </c>
      <c r="S123" s="44">
        <v>0</v>
      </c>
      <c r="T123" s="41">
        <v>1</v>
      </c>
    </row>
    <row r="124" spans="1:20" ht="15" customHeight="1" x14ac:dyDescent="0.4">
      <c r="A124" s="42" t="s">
        <v>657</v>
      </c>
      <c r="B124" s="41" t="s">
        <v>658</v>
      </c>
      <c r="C124" s="44">
        <v>0</v>
      </c>
      <c r="D124" s="44">
        <v>0</v>
      </c>
      <c r="E124" s="44">
        <v>0</v>
      </c>
      <c r="F124" s="44">
        <v>0</v>
      </c>
      <c r="G124" s="44">
        <v>0</v>
      </c>
      <c r="H124" s="44">
        <v>0</v>
      </c>
      <c r="I124" s="44">
        <v>0</v>
      </c>
      <c r="J124" s="44">
        <v>0</v>
      </c>
      <c r="K124" s="44">
        <v>0</v>
      </c>
      <c r="L124" s="44">
        <v>0</v>
      </c>
      <c r="M124" s="44">
        <v>0</v>
      </c>
      <c r="N124" s="44">
        <v>0</v>
      </c>
      <c r="O124" s="44">
        <v>0</v>
      </c>
      <c r="P124" s="44">
        <v>0</v>
      </c>
      <c r="Q124" s="44">
        <v>0</v>
      </c>
      <c r="R124" s="44">
        <v>0</v>
      </c>
      <c r="S124" s="44">
        <v>0</v>
      </c>
      <c r="T124" s="41">
        <v>1</v>
      </c>
    </row>
    <row r="125" spans="1:20" ht="15" customHeight="1" x14ac:dyDescent="0.4">
      <c r="A125" s="42" t="s">
        <v>659</v>
      </c>
      <c r="B125" s="41" t="s">
        <v>660</v>
      </c>
      <c r="C125" s="44">
        <v>0</v>
      </c>
      <c r="D125" s="44">
        <v>0</v>
      </c>
      <c r="E125" s="44">
        <v>0</v>
      </c>
      <c r="F125" s="44">
        <v>0</v>
      </c>
      <c r="G125" s="44">
        <v>0</v>
      </c>
      <c r="H125" s="44">
        <v>0</v>
      </c>
      <c r="I125" s="44">
        <v>0</v>
      </c>
      <c r="J125" s="44">
        <v>0</v>
      </c>
      <c r="K125" s="44">
        <v>0</v>
      </c>
      <c r="L125" s="44">
        <v>0</v>
      </c>
      <c r="M125" s="44">
        <v>0</v>
      </c>
      <c r="N125" s="44">
        <v>0</v>
      </c>
      <c r="O125" s="44">
        <v>0</v>
      </c>
      <c r="P125" s="44">
        <v>0</v>
      </c>
      <c r="Q125" s="44">
        <v>0</v>
      </c>
      <c r="R125" s="44">
        <v>0</v>
      </c>
      <c r="S125" s="44">
        <v>0</v>
      </c>
      <c r="T125" s="41">
        <v>1</v>
      </c>
    </row>
    <row r="126" spans="1:20" ht="15" customHeight="1" x14ac:dyDescent="0.4">
      <c r="A126" s="42" t="s">
        <v>661</v>
      </c>
      <c r="B126" s="41" t="s">
        <v>662</v>
      </c>
      <c r="C126" s="43">
        <v>6137480.8300000001</v>
      </c>
      <c r="D126" s="43">
        <v>6137480.8300000001</v>
      </c>
      <c r="E126" s="43">
        <v>6554815.9000000004</v>
      </c>
      <c r="F126" s="44">
        <v>0</v>
      </c>
      <c r="G126" s="44">
        <v>0</v>
      </c>
      <c r="H126" s="44">
        <v>0</v>
      </c>
      <c r="I126" s="44">
        <v>0</v>
      </c>
      <c r="J126" s="44">
        <v>0</v>
      </c>
      <c r="K126" s="44">
        <v>0</v>
      </c>
      <c r="L126" s="44">
        <v>0</v>
      </c>
      <c r="M126" s="44">
        <v>0</v>
      </c>
      <c r="N126" s="44">
        <v>0</v>
      </c>
      <c r="O126" s="44">
        <v>0</v>
      </c>
      <c r="P126" s="44">
        <v>0</v>
      </c>
      <c r="Q126" s="44">
        <v>0</v>
      </c>
      <c r="R126" s="44">
        <v>0</v>
      </c>
      <c r="S126" s="43">
        <v>-6137480.8300000001</v>
      </c>
      <c r="T126" s="41">
        <v>1</v>
      </c>
    </row>
    <row r="127" spans="1:20" ht="15" customHeight="1" x14ac:dyDescent="0.4">
      <c r="A127" s="42" t="s">
        <v>663</v>
      </c>
      <c r="B127" s="41" t="s">
        <v>664</v>
      </c>
      <c r="C127" s="44">
        <v>0</v>
      </c>
      <c r="D127" s="44">
        <v>0</v>
      </c>
      <c r="E127" s="44">
        <v>0</v>
      </c>
      <c r="F127" s="44">
        <v>0</v>
      </c>
      <c r="G127" s="44">
        <v>0</v>
      </c>
      <c r="H127" s="44">
        <v>0</v>
      </c>
      <c r="I127" s="44">
        <v>0</v>
      </c>
      <c r="J127" s="44">
        <v>0</v>
      </c>
      <c r="K127" s="44">
        <v>0</v>
      </c>
      <c r="L127" s="44">
        <v>0</v>
      </c>
      <c r="M127" s="44">
        <v>0</v>
      </c>
      <c r="N127" s="44">
        <v>0</v>
      </c>
      <c r="O127" s="44">
        <v>0</v>
      </c>
      <c r="P127" s="44">
        <v>0</v>
      </c>
      <c r="Q127" s="44">
        <v>0</v>
      </c>
      <c r="R127" s="44">
        <v>0</v>
      </c>
      <c r="S127" s="44">
        <v>0</v>
      </c>
      <c r="T127" s="41">
        <v>1</v>
      </c>
    </row>
    <row r="128" spans="1:20" ht="15" customHeight="1" x14ac:dyDescent="0.4">
      <c r="A128" s="42" t="s">
        <v>665</v>
      </c>
      <c r="B128" s="41" t="s">
        <v>666</v>
      </c>
      <c r="C128" s="44">
        <v>0</v>
      </c>
      <c r="D128" s="44">
        <v>0</v>
      </c>
      <c r="E128" s="44">
        <v>0</v>
      </c>
      <c r="F128" s="44">
        <v>0</v>
      </c>
      <c r="G128" s="44">
        <v>0</v>
      </c>
      <c r="H128" s="44">
        <v>0</v>
      </c>
      <c r="I128" s="44">
        <v>0</v>
      </c>
      <c r="J128" s="44">
        <v>0</v>
      </c>
      <c r="K128" s="44">
        <v>0</v>
      </c>
      <c r="L128" s="44">
        <v>0</v>
      </c>
      <c r="M128" s="44">
        <v>0</v>
      </c>
      <c r="N128" s="44">
        <v>0</v>
      </c>
      <c r="O128" s="44">
        <v>0</v>
      </c>
      <c r="P128" s="44">
        <v>0</v>
      </c>
      <c r="Q128" s="44">
        <v>0</v>
      </c>
      <c r="R128" s="44">
        <v>0</v>
      </c>
      <c r="S128" s="44">
        <v>0</v>
      </c>
      <c r="T128" s="41">
        <v>1</v>
      </c>
    </row>
    <row r="129" spans="1:20" ht="15" customHeight="1" x14ac:dyDescent="0.4">
      <c r="A129" s="42" t="s">
        <v>667</v>
      </c>
      <c r="B129" s="41" t="s">
        <v>668</v>
      </c>
      <c r="C129" s="44">
        <v>0</v>
      </c>
      <c r="D129" s="43">
        <v>636645.35</v>
      </c>
      <c r="E129" s="43">
        <v>636645.35</v>
      </c>
      <c r="F129" s="44">
        <v>0</v>
      </c>
      <c r="G129" s="44">
        <v>0</v>
      </c>
      <c r="H129" s="44">
        <v>0</v>
      </c>
      <c r="I129" s="44">
        <v>0</v>
      </c>
      <c r="J129" s="44">
        <v>0</v>
      </c>
      <c r="K129" s="44">
        <v>0</v>
      </c>
      <c r="L129" s="44">
        <v>0</v>
      </c>
      <c r="M129" s="44">
        <v>0</v>
      </c>
      <c r="N129" s="44">
        <v>0</v>
      </c>
      <c r="O129" s="44">
        <v>0</v>
      </c>
      <c r="P129" s="44">
        <v>0</v>
      </c>
      <c r="Q129" s="44">
        <v>0</v>
      </c>
      <c r="R129" s="44">
        <v>0</v>
      </c>
      <c r="S129" s="43">
        <v>-636645.35</v>
      </c>
      <c r="T129" s="41">
        <v>1</v>
      </c>
    </row>
    <row r="130" spans="1:20" ht="15" customHeight="1" x14ac:dyDescent="0.4">
      <c r="A130" s="42" t="s">
        <v>669</v>
      </c>
      <c r="B130" s="41" t="s">
        <v>670</v>
      </c>
      <c r="C130" s="44">
        <v>0</v>
      </c>
      <c r="D130" s="44">
        <v>0</v>
      </c>
      <c r="E130" s="44">
        <v>0</v>
      </c>
      <c r="F130" s="44">
        <v>0</v>
      </c>
      <c r="G130" s="44">
        <v>0</v>
      </c>
      <c r="H130" s="44">
        <v>0</v>
      </c>
      <c r="I130" s="44">
        <v>0</v>
      </c>
      <c r="J130" s="44">
        <v>0</v>
      </c>
      <c r="K130" s="44">
        <v>0</v>
      </c>
      <c r="L130" s="44">
        <v>0</v>
      </c>
      <c r="M130" s="44">
        <v>0</v>
      </c>
      <c r="N130" s="44">
        <v>0</v>
      </c>
      <c r="O130" s="44">
        <v>0</v>
      </c>
      <c r="P130" s="44">
        <v>0</v>
      </c>
      <c r="Q130" s="44">
        <v>0</v>
      </c>
      <c r="R130" s="44">
        <v>0</v>
      </c>
      <c r="S130" s="44">
        <v>0</v>
      </c>
      <c r="T130" s="41">
        <v>1</v>
      </c>
    </row>
    <row r="131" spans="1:20" ht="15" customHeight="1" x14ac:dyDescent="0.4">
      <c r="A131" s="42" t="s">
        <v>671</v>
      </c>
      <c r="B131" s="41" t="s">
        <v>672</v>
      </c>
      <c r="C131" s="44">
        <v>0</v>
      </c>
      <c r="D131" s="44">
        <v>0</v>
      </c>
      <c r="E131" s="44">
        <v>0</v>
      </c>
      <c r="F131" s="44">
        <v>0</v>
      </c>
      <c r="G131" s="44">
        <v>0</v>
      </c>
      <c r="H131" s="44">
        <v>0</v>
      </c>
      <c r="I131" s="44">
        <v>0</v>
      </c>
      <c r="J131" s="44">
        <v>0</v>
      </c>
      <c r="K131" s="44">
        <v>0</v>
      </c>
      <c r="L131" s="44">
        <v>0</v>
      </c>
      <c r="M131" s="44">
        <v>0</v>
      </c>
      <c r="N131" s="44">
        <v>0</v>
      </c>
      <c r="O131" s="44">
        <v>0</v>
      </c>
      <c r="P131" s="44">
        <v>0</v>
      </c>
      <c r="Q131" s="44">
        <v>0</v>
      </c>
      <c r="R131" s="44">
        <v>0</v>
      </c>
      <c r="S131" s="44">
        <v>0</v>
      </c>
      <c r="T131" s="41">
        <v>1</v>
      </c>
    </row>
    <row r="132" spans="1:20" ht="15" customHeight="1" x14ac:dyDescent="0.4">
      <c r="A132" s="42" t="s">
        <v>673</v>
      </c>
      <c r="B132" s="41" t="s">
        <v>674</v>
      </c>
      <c r="C132" s="44">
        <v>0</v>
      </c>
      <c r="D132" s="44">
        <v>0</v>
      </c>
      <c r="E132" s="44">
        <v>0</v>
      </c>
      <c r="F132" s="44">
        <v>0</v>
      </c>
      <c r="G132" s="44">
        <v>0</v>
      </c>
      <c r="H132" s="44">
        <v>0</v>
      </c>
      <c r="I132" s="44">
        <v>0</v>
      </c>
      <c r="J132" s="44">
        <v>0</v>
      </c>
      <c r="K132" s="44">
        <v>0</v>
      </c>
      <c r="L132" s="44">
        <v>0</v>
      </c>
      <c r="M132" s="44">
        <v>0</v>
      </c>
      <c r="N132" s="44">
        <v>0</v>
      </c>
      <c r="O132" s="44">
        <v>0</v>
      </c>
      <c r="P132" s="44">
        <v>0</v>
      </c>
      <c r="Q132" s="44">
        <v>0</v>
      </c>
      <c r="R132" s="44">
        <v>0</v>
      </c>
      <c r="S132" s="44">
        <v>0</v>
      </c>
      <c r="T132" s="41">
        <v>1</v>
      </c>
    </row>
    <row r="133" spans="1:20" ht="15" customHeight="1" x14ac:dyDescent="0.4">
      <c r="A133" s="42" t="s">
        <v>675</v>
      </c>
      <c r="B133" s="41" t="s">
        <v>676</v>
      </c>
      <c r="C133" s="44">
        <v>0</v>
      </c>
      <c r="D133" s="44">
        <v>0</v>
      </c>
      <c r="E133" s="44">
        <v>0</v>
      </c>
      <c r="F133" s="44">
        <v>0</v>
      </c>
      <c r="G133" s="44">
        <v>0</v>
      </c>
      <c r="H133" s="44">
        <v>0</v>
      </c>
      <c r="I133" s="44">
        <v>0</v>
      </c>
      <c r="J133" s="44">
        <v>0</v>
      </c>
      <c r="K133" s="44">
        <v>0</v>
      </c>
      <c r="L133" s="44">
        <v>0</v>
      </c>
      <c r="M133" s="44">
        <v>0</v>
      </c>
      <c r="N133" s="44">
        <v>0</v>
      </c>
      <c r="O133" s="44">
        <v>0</v>
      </c>
      <c r="P133" s="44">
        <v>0</v>
      </c>
      <c r="Q133" s="44">
        <v>0</v>
      </c>
      <c r="R133" s="44">
        <v>0</v>
      </c>
      <c r="S133" s="44">
        <v>0</v>
      </c>
      <c r="T133" s="41">
        <v>1</v>
      </c>
    </row>
    <row r="134" spans="1:20" ht="15" customHeight="1" x14ac:dyDescent="0.4">
      <c r="A134" s="42" t="s">
        <v>677</v>
      </c>
      <c r="B134" s="41" t="s">
        <v>678</v>
      </c>
      <c r="C134" s="44">
        <v>0</v>
      </c>
      <c r="D134" s="44">
        <v>0</v>
      </c>
      <c r="E134" s="44">
        <v>0</v>
      </c>
      <c r="F134" s="44">
        <v>0</v>
      </c>
      <c r="G134" s="44">
        <v>0</v>
      </c>
      <c r="H134" s="44">
        <v>0</v>
      </c>
      <c r="I134" s="44">
        <v>0</v>
      </c>
      <c r="J134" s="44">
        <v>0</v>
      </c>
      <c r="K134" s="44">
        <v>0</v>
      </c>
      <c r="L134" s="44">
        <v>0</v>
      </c>
      <c r="M134" s="44">
        <v>0</v>
      </c>
      <c r="N134" s="44">
        <v>0</v>
      </c>
      <c r="O134" s="44">
        <v>0</v>
      </c>
      <c r="P134" s="44">
        <v>0</v>
      </c>
      <c r="Q134" s="44">
        <v>0</v>
      </c>
      <c r="R134" s="44">
        <v>0</v>
      </c>
      <c r="S134" s="44">
        <v>0</v>
      </c>
      <c r="T134" s="41">
        <v>1</v>
      </c>
    </row>
    <row r="135" spans="1:20" ht="15" customHeight="1" x14ac:dyDescent="0.4">
      <c r="A135" s="42" t="s">
        <v>679</v>
      </c>
      <c r="B135" s="41" t="s">
        <v>680</v>
      </c>
      <c r="C135" s="44">
        <v>0</v>
      </c>
      <c r="D135" s="44">
        <v>0</v>
      </c>
      <c r="E135" s="44">
        <v>0</v>
      </c>
      <c r="F135" s="44">
        <v>0</v>
      </c>
      <c r="G135" s="44">
        <v>0</v>
      </c>
      <c r="H135" s="44">
        <v>0</v>
      </c>
      <c r="I135" s="44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1">
        <v>1</v>
      </c>
    </row>
    <row r="136" spans="1:20" ht="15" customHeight="1" x14ac:dyDescent="0.4">
      <c r="A136" s="42" t="s">
        <v>681</v>
      </c>
      <c r="B136" s="41" t="s">
        <v>682</v>
      </c>
      <c r="C136" s="44">
        <v>0</v>
      </c>
      <c r="D136" s="44">
        <v>0</v>
      </c>
      <c r="E136" s="44">
        <v>0</v>
      </c>
      <c r="F136" s="44">
        <v>0</v>
      </c>
      <c r="G136" s="44">
        <v>0</v>
      </c>
      <c r="H136" s="44">
        <v>0</v>
      </c>
      <c r="I136" s="44">
        <v>0</v>
      </c>
      <c r="J136" s="44">
        <v>0</v>
      </c>
      <c r="K136" s="44">
        <v>0</v>
      </c>
      <c r="L136" s="44">
        <v>0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0</v>
      </c>
      <c r="T136" s="41">
        <v>1</v>
      </c>
    </row>
    <row r="137" spans="1:20" ht="15" customHeight="1" x14ac:dyDescent="0.4">
      <c r="A137" s="42" t="s">
        <v>683</v>
      </c>
      <c r="B137" s="41" t="s">
        <v>684</v>
      </c>
      <c r="C137" s="44">
        <v>0</v>
      </c>
      <c r="D137" s="44">
        <v>0</v>
      </c>
      <c r="E137" s="43">
        <v>3877560</v>
      </c>
      <c r="F137" s="44">
        <v>0</v>
      </c>
      <c r="G137" s="44">
        <v>0</v>
      </c>
      <c r="H137" s="44">
        <v>0</v>
      </c>
      <c r="I137" s="44">
        <v>0</v>
      </c>
      <c r="J137" s="44">
        <v>0</v>
      </c>
      <c r="K137" s="44">
        <v>0</v>
      </c>
      <c r="L137" s="44">
        <v>0</v>
      </c>
      <c r="M137" s="44">
        <v>0</v>
      </c>
      <c r="N137" s="44">
        <v>0</v>
      </c>
      <c r="O137" s="44">
        <v>0</v>
      </c>
      <c r="P137" s="44">
        <v>0</v>
      </c>
      <c r="Q137" s="44">
        <v>0</v>
      </c>
      <c r="R137" s="44">
        <v>0</v>
      </c>
      <c r="S137" s="44">
        <v>0</v>
      </c>
      <c r="T137" s="41">
        <v>1</v>
      </c>
    </row>
    <row r="138" spans="1:20" ht="15" customHeight="1" x14ac:dyDescent="0.4">
      <c r="A138" s="42" t="s">
        <v>685</v>
      </c>
      <c r="B138" s="41" t="s">
        <v>686</v>
      </c>
      <c r="C138" s="44">
        <v>0</v>
      </c>
      <c r="D138" s="44">
        <v>0</v>
      </c>
      <c r="E138" s="44">
        <v>0</v>
      </c>
      <c r="F138" s="44">
        <v>0</v>
      </c>
      <c r="G138" s="44">
        <v>0</v>
      </c>
      <c r="H138" s="44">
        <v>0</v>
      </c>
      <c r="I138" s="44">
        <v>0</v>
      </c>
      <c r="J138" s="44">
        <v>0</v>
      </c>
      <c r="K138" s="44">
        <v>0</v>
      </c>
      <c r="L138" s="44">
        <v>0</v>
      </c>
      <c r="M138" s="44">
        <v>0</v>
      </c>
      <c r="N138" s="44">
        <v>0</v>
      </c>
      <c r="O138" s="44">
        <v>0</v>
      </c>
      <c r="P138" s="44">
        <v>0</v>
      </c>
      <c r="Q138" s="44">
        <v>0</v>
      </c>
      <c r="R138" s="44">
        <v>0</v>
      </c>
      <c r="S138" s="44">
        <v>0</v>
      </c>
      <c r="T138" s="41">
        <v>1</v>
      </c>
    </row>
    <row r="139" spans="1:20" ht="15" customHeight="1" x14ac:dyDescent="0.4">
      <c r="A139" s="42" t="s">
        <v>687</v>
      </c>
      <c r="B139" s="41" t="s">
        <v>688</v>
      </c>
      <c r="C139" s="44">
        <v>0</v>
      </c>
      <c r="D139" s="44">
        <v>0</v>
      </c>
      <c r="E139" s="44">
        <v>0</v>
      </c>
      <c r="F139" s="44">
        <v>0</v>
      </c>
      <c r="G139" s="44">
        <v>0</v>
      </c>
      <c r="H139" s="44">
        <v>0</v>
      </c>
      <c r="I139" s="44">
        <v>0</v>
      </c>
      <c r="J139" s="44">
        <v>0</v>
      </c>
      <c r="K139" s="44">
        <v>0</v>
      </c>
      <c r="L139" s="44">
        <v>0</v>
      </c>
      <c r="M139" s="44">
        <v>0</v>
      </c>
      <c r="N139" s="44">
        <v>0</v>
      </c>
      <c r="O139" s="44">
        <v>0</v>
      </c>
      <c r="P139" s="44">
        <v>0</v>
      </c>
      <c r="Q139" s="44">
        <v>0</v>
      </c>
      <c r="R139" s="44">
        <v>0</v>
      </c>
      <c r="S139" s="44">
        <v>0</v>
      </c>
      <c r="T139" s="41">
        <v>1</v>
      </c>
    </row>
    <row r="140" spans="1:20" ht="15" customHeight="1" x14ac:dyDescent="0.4">
      <c r="A140" s="42" t="s">
        <v>689</v>
      </c>
      <c r="B140" s="41" t="s">
        <v>690</v>
      </c>
      <c r="C140" s="44">
        <v>0</v>
      </c>
      <c r="D140" s="44">
        <v>0</v>
      </c>
      <c r="E140" s="44">
        <v>0</v>
      </c>
      <c r="F140" s="44">
        <v>0</v>
      </c>
      <c r="G140" s="44">
        <v>0</v>
      </c>
      <c r="H140" s="44">
        <v>0</v>
      </c>
      <c r="I140" s="44">
        <v>0</v>
      </c>
      <c r="J140" s="44">
        <v>0</v>
      </c>
      <c r="K140" s="44">
        <v>0</v>
      </c>
      <c r="L140" s="44">
        <v>0</v>
      </c>
      <c r="M140" s="44">
        <v>0</v>
      </c>
      <c r="N140" s="44">
        <v>0</v>
      </c>
      <c r="O140" s="44">
        <v>0</v>
      </c>
      <c r="P140" s="44">
        <v>0</v>
      </c>
      <c r="Q140" s="44">
        <v>0</v>
      </c>
      <c r="R140" s="44">
        <v>0</v>
      </c>
      <c r="S140" s="44">
        <v>0</v>
      </c>
      <c r="T140" s="41">
        <v>1</v>
      </c>
    </row>
    <row r="141" spans="1:20" ht="15" customHeight="1" x14ac:dyDescent="0.4">
      <c r="A141" s="42" t="s">
        <v>725</v>
      </c>
      <c r="B141" s="41" t="s">
        <v>726</v>
      </c>
      <c r="C141" s="44">
        <v>0</v>
      </c>
      <c r="D141" s="44">
        <v>0</v>
      </c>
      <c r="E141" s="44">
        <v>0</v>
      </c>
      <c r="F141" s="44">
        <v>0</v>
      </c>
      <c r="G141" s="44">
        <v>0</v>
      </c>
      <c r="H141" s="44">
        <v>0</v>
      </c>
      <c r="I141" s="44">
        <v>0</v>
      </c>
      <c r="J141" s="44">
        <v>0</v>
      </c>
      <c r="K141" s="44">
        <v>0</v>
      </c>
      <c r="L141" s="44">
        <v>0</v>
      </c>
      <c r="M141" s="44">
        <v>0</v>
      </c>
      <c r="N141" s="44">
        <v>0</v>
      </c>
      <c r="O141" s="44">
        <v>0</v>
      </c>
      <c r="P141" s="44">
        <v>0</v>
      </c>
      <c r="Q141" s="44">
        <v>0</v>
      </c>
      <c r="R141" s="44">
        <v>0</v>
      </c>
      <c r="S141" s="44">
        <v>0</v>
      </c>
      <c r="T141" s="41">
        <v>1</v>
      </c>
    </row>
    <row r="142" spans="1:20" ht="15" customHeight="1" x14ac:dyDescent="0.4">
      <c r="A142" s="37" t="s">
        <v>691</v>
      </c>
      <c r="B142" s="38" t="s">
        <v>692</v>
      </c>
      <c r="C142" s="39">
        <v>-1719203138.27</v>
      </c>
      <c r="D142" s="39">
        <v>-1816048635.5699999</v>
      </c>
      <c r="E142" s="39">
        <v>581157118.52999997</v>
      </c>
      <c r="F142" s="39">
        <v>-651995198.39999998</v>
      </c>
      <c r="G142" s="39">
        <v>288093047.44999999</v>
      </c>
      <c r="H142" s="39">
        <v>-591105594.30999994</v>
      </c>
      <c r="I142" s="40">
        <v>0</v>
      </c>
      <c r="J142" s="40">
        <v>0</v>
      </c>
      <c r="K142" s="40">
        <v>0</v>
      </c>
      <c r="L142" s="40">
        <v>0</v>
      </c>
      <c r="M142" s="40">
        <v>0</v>
      </c>
      <c r="N142" s="40">
        <v>0</v>
      </c>
      <c r="O142" s="40">
        <v>0</v>
      </c>
      <c r="P142" s="40">
        <v>0</v>
      </c>
      <c r="Q142" s="40">
        <v>0</v>
      </c>
      <c r="R142" s="39">
        <v>-955007745.25999999</v>
      </c>
      <c r="S142" s="39">
        <v>861040890.30999994</v>
      </c>
      <c r="T142" s="41">
        <v>2</v>
      </c>
    </row>
    <row r="143" spans="1:20" ht="15" customHeight="1" x14ac:dyDescent="0.4">
      <c r="A143" s="37" t="s">
        <v>693</v>
      </c>
      <c r="B143" s="38" t="s">
        <v>694</v>
      </c>
      <c r="C143" s="40">
        <v>0</v>
      </c>
      <c r="D143" s="40">
        <v>0</v>
      </c>
      <c r="E143" s="39">
        <v>571411371.58000004</v>
      </c>
      <c r="F143" s="40">
        <v>0</v>
      </c>
      <c r="G143" s="40">
        <v>0</v>
      </c>
      <c r="H143" s="40">
        <v>0</v>
      </c>
      <c r="I143" s="40">
        <v>0</v>
      </c>
      <c r="J143" s="40">
        <v>0</v>
      </c>
      <c r="K143" s="40">
        <v>0</v>
      </c>
      <c r="L143" s="40">
        <v>0</v>
      </c>
      <c r="M143" s="40">
        <v>0</v>
      </c>
      <c r="N143" s="40">
        <v>0</v>
      </c>
      <c r="O143" s="40">
        <v>0</v>
      </c>
      <c r="P143" s="40">
        <v>0</v>
      </c>
      <c r="Q143" s="40">
        <v>0</v>
      </c>
      <c r="R143" s="40">
        <v>0</v>
      </c>
      <c r="S143" s="40">
        <v>0</v>
      </c>
      <c r="T143" s="41">
        <v>2</v>
      </c>
    </row>
    <row r="144" spans="1:20" ht="15" customHeight="1" x14ac:dyDescent="0.4">
      <c r="A144" s="42" t="s">
        <v>695</v>
      </c>
      <c r="B144" s="41" t="s">
        <v>694</v>
      </c>
      <c r="C144" s="44">
        <v>0</v>
      </c>
      <c r="D144" s="44">
        <v>0</v>
      </c>
      <c r="E144" s="43">
        <v>571411371.58000004</v>
      </c>
      <c r="F144" s="44">
        <v>0</v>
      </c>
      <c r="G144" s="44">
        <v>0</v>
      </c>
      <c r="H144" s="44">
        <v>0</v>
      </c>
      <c r="I144" s="44">
        <v>0</v>
      </c>
      <c r="J144" s="44">
        <v>0</v>
      </c>
      <c r="K144" s="44">
        <v>0</v>
      </c>
      <c r="L144" s="44">
        <v>0</v>
      </c>
      <c r="M144" s="44">
        <v>0</v>
      </c>
      <c r="N144" s="44">
        <v>0</v>
      </c>
      <c r="O144" s="44">
        <v>0</v>
      </c>
      <c r="P144" s="44">
        <v>0</v>
      </c>
      <c r="Q144" s="44">
        <v>0</v>
      </c>
      <c r="R144" s="44">
        <v>0</v>
      </c>
      <c r="S144" s="44">
        <v>0</v>
      </c>
      <c r="T144" s="41">
        <v>1</v>
      </c>
    </row>
    <row r="145" spans="1:20" ht="15" customHeight="1" x14ac:dyDescent="0.4">
      <c r="A145" s="37" t="s">
        <v>696</v>
      </c>
      <c r="B145" s="38" t="s">
        <v>697</v>
      </c>
      <c r="C145" s="39">
        <v>-1719203138.27</v>
      </c>
      <c r="D145" s="39">
        <v>-1816048635.5699999</v>
      </c>
      <c r="E145" s="39">
        <v>9745746.9499999993</v>
      </c>
      <c r="F145" s="39">
        <v>-651995198.39999998</v>
      </c>
      <c r="G145" s="39">
        <v>288093047.44999999</v>
      </c>
      <c r="H145" s="39">
        <v>-591105594.30999994</v>
      </c>
      <c r="I145" s="40">
        <v>0</v>
      </c>
      <c r="J145" s="40">
        <v>0</v>
      </c>
      <c r="K145" s="40">
        <v>0</v>
      </c>
      <c r="L145" s="40">
        <v>0</v>
      </c>
      <c r="M145" s="40">
        <v>0</v>
      </c>
      <c r="N145" s="40">
        <v>0</v>
      </c>
      <c r="O145" s="40">
        <v>0</v>
      </c>
      <c r="P145" s="40">
        <v>0</v>
      </c>
      <c r="Q145" s="40">
        <v>0</v>
      </c>
      <c r="R145" s="39">
        <v>-955007745.25999999</v>
      </c>
      <c r="S145" s="39">
        <v>861040890.30999994</v>
      </c>
      <c r="T145" s="41">
        <v>2</v>
      </c>
    </row>
    <row r="146" spans="1:20" ht="15" customHeight="1" x14ac:dyDescent="0.4">
      <c r="A146" s="42" t="s">
        <v>698</v>
      </c>
      <c r="B146" s="41" t="s">
        <v>699</v>
      </c>
      <c r="C146" s="43">
        <v>-1719203138.27</v>
      </c>
      <c r="D146" s="43">
        <v>-1816048635.5699999</v>
      </c>
      <c r="E146" s="43">
        <v>9745746.9499999993</v>
      </c>
      <c r="F146" s="43">
        <v>-651995198.39999998</v>
      </c>
      <c r="G146" s="43">
        <v>288093047.44999999</v>
      </c>
      <c r="H146" s="43">
        <v>-591105594.30999994</v>
      </c>
      <c r="I146" s="44">
        <v>0</v>
      </c>
      <c r="J146" s="44">
        <v>0</v>
      </c>
      <c r="K146" s="44">
        <v>0</v>
      </c>
      <c r="L146" s="44">
        <v>0</v>
      </c>
      <c r="M146" s="44">
        <v>0</v>
      </c>
      <c r="N146" s="44">
        <v>0</v>
      </c>
      <c r="O146" s="44">
        <v>0</v>
      </c>
      <c r="P146" s="44">
        <v>0</v>
      </c>
      <c r="Q146" s="44">
        <v>0</v>
      </c>
      <c r="R146" s="43">
        <v>-955007745.25999999</v>
      </c>
      <c r="S146" s="43">
        <v>861040890.30999994</v>
      </c>
      <c r="T146" s="41">
        <v>1</v>
      </c>
    </row>
    <row r="147" spans="1:20" ht="15" customHeight="1" x14ac:dyDescent="0.4">
      <c r="A147" s="42" t="s">
        <v>700</v>
      </c>
      <c r="B147" s="41" t="s">
        <v>701</v>
      </c>
      <c r="C147" s="44">
        <v>0</v>
      </c>
      <c r="D147" s="44">
        <v>0</v>
      </c>
      <c r="E147" s="44">
        <v>0</v>
      </c>
      <c r="F147" s="44">
        <v>0</v>
      </c>
      <c r="G147" s="44">
        <v>0</v>
      </c>
      <c r="H147" s="44">
        <v>0</v>
      </c>
      <c r="I147" s="44">
        <v>0</v>
      </c>
      <c r="J147" s="44">
        <v>0</v>
      </c>
      <c r="K147" s="44">
        <v>0</v>
      </c>
      <c r="L147" s="44">
        <v>0</v>
      </c>
      <c r="M147" s="44">
        <v>0</v>
      </c>
      <c r="N147" s="44">
        <v>0</v>
      </c>
      <c r="O147" s="44">
        <v>0</v>
      </c>
      <c r="P147" s="44">
        <v>0</v>
      </c>
      <c r="Q147" s="44">
        <v>0</v>
      </c>
      <c r="R147" s="44">
        <v>0</v>
      </c>
      <c r="S147" s="44">
        <v>0</v>
      </c>
      <c r="T147" s="41">
        <v>1</v>
      </c>
    </row>
  </sheetData>
  <phoneticPr fontId="3" type="noConversion"/>
  <dataValidations count="2">
    <dataValidation type="decimal" allowBlank="1" showInputMessage="1" showErrorMessage="1" error="The value entered exceeded the allowed range." sqref="C148:S1048576" xr:uid="{518F053A-BB28-405D-82A0-ABB4C4055A98}"/>
    <dataValidation type="textLength" allowBlank="1" showInputMessage="1" showErrorMessage="1" error="The number of entered characters exceeds the maximum number of allowed characters." sqref="A148:B1048576" xr:uid="{A2E4C89D-044D-4A82-8125-4214003A1D4A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월 비교</vt:lpstr>
      <vt:lpstr>년 비교</vt:lpstr>
      <vt:lpstr>BS</vt:lpstr>
      <vt:lpstr>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이장욱/재경총괄본부/차장</dc:creator>
  <cp:lastModifiedBy>김예지/재경총괄본부/과장</cp:lastModifiedBy>
  <dcterms:created xsi:type="dcterms:W3CDTF">2025-10-15T09:24:13Z</dcterms:created>
  <dcterms:modified xsi:type="dcterms:W3CDTF">2026-04-15T08:06:36Z</dcterms:modified>
</cp:coreProperties>
</file>