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EMEA관리팀\2026\1.결산자료\99.분석\3월\"/>
    </mc:Choice>
  </mc:AlternateContent>
  <xr:revisionPtr revIDLastSave="0" documentId="13_ncr:1_{2E13756B-22B3-41B5-B490-D5C0FDB90CE0}" xr6:coauthVersionLast="47" xr6:coauthVersionMax="47" xr10:uidLastSave="{00000000-0000-0000-0000-000000000000}"/>
  <bookViews>
    <workbookView xWindow="28680" yWindow="-60" windowWidth="29040" windowHeight="15720" activeTab="2" xr2:uid="{268CD8F5-B6C8-4EFC-A195-D56C23E68A19}"/>
  </bookViews>
  <sheets>
    <sheet name="월 비교" sheetId="3" r:id="rId1"/>
    <sheet name="년 비교" sheetId="4" r:id="rId2"/>
    <sheet name="BS" sheetId="1" r:id="rId3"/>
    <sheet name="PL" sheetId="2" r:id="rId4"/>
  </sheets>
  <definedNames>
    <definedName name="_xlnm._FilterDatabase" localSheetId="1" hidden="1">'년 비교'!$C$3:$N$205</definedName>
    <definedName name="_xlnm._FilterDatabase" localSheetId="0" hidden="1">'월 비교'!$C$3:$T$205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3" i="1" l="1"/>
  <c r="AA83" i="1"/>
  <c r="Z85" i="1" l="1"/>
  <c r="Y85" i="1"/>
  <c r="V85" i="1"/>
  <c r="Z84" i="1"/>
  <c r="Y84" i="1"/>
  <c r="V84" i="1"/>
  <c r="X84" i="1" s="1"/>
  <c r="Z83" i="1"/>
  <c r="Y83" i="1"/>
  <c r="V83" i="1"/>
  <c r="W85" i="1"/>
  <c r="X85" i="1" s="1"/>
  <c r="W84" i="1"/>
  <c r="W83" i="1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142" i="4"/>
  <c r="M142" i="4" s="1"/>
  <c r="N142" i="4" s="1"/>
  <c r="K142" i="4"/>
  <c r="L74" i="4"/>
  <c r="K74" i="4"/>
  <c r="L43" i="4"/>
  <c r="K43" i="4"/>
  <c r="L36" i="4"/>
  <c r="K36" i="4"/>
  <c r="L19" i="4"/>
  <c r="K19" i="4"/>
  <c r="P142" i="3"/>
  <c r="O142" i="3"/>
  <c r="N142" i="3"/>
  <c r="P74" i="3"/>
  <c r="O74" i="3"/>
  <c r="N74" i="3"/>
  <c r="P43" i="3"/>
  <c r="O43" i="3"/>
  <c r="N43" i="3"/>
  <c r="P36" i="3"/>
  <c r="O36" i="3"/>
  <c r="N36" i="3"/>
  <c r="P19" i="3"/>
  <c r="O19" i="3"/>
  <c r="N19" i="3"/>
  <c r="S142" i="3" l="1"/>
  <c r="T142" i="3" s="1"/>
  <c r="X83" i="1"/>
  <c r="S43" i="3"/>
  <c r="T43" i="3" s="1"/>
  <c r="Q74" i="3"/>
  <c r="R74" i="3" s="1"/>
  <c r="M74" i="4"/>
  <c r="N74" i="4" s="1"/>
  <c r="M43" i="4"/>
  <c r="N43" i="4" s="1"/>
  <c r="M36" i="4"/>
  <c r="N36" i="4" s="1"/>
  <c r="M19" i="4"/>
  <c r="N19" i="4" s="1"/>
  <c r="Q142" i="3"/>
  <c r="R142" i="3" s="1"/>
  <c r="S74" i="3"/>
  <c r="T74" i="3" s="1"/>
  <c r="Q43" i="3"/>
  <c r="R43" i="3" s="1"/>
  <c r="Q36" i="3"/>
  <c r="R36" i="3" s="1"/>
  <c r="S19" i="3"/>
  <c r="T19" i="3" s="1"/>
  <c r="S36" i="3"/>
  <c r="T36" i="3" s="1"/>
  <c r="Q19" i="3"/>
  <c r="R19" i="3" s="1"/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7" i="4"/>
  <c r="L38" i="4"/>
  <c r="L39" i="4"/>
  <c r="L40" i="4"/>
  <c r="L41" i="4"/>
  <c r="L42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5" i="4"/>
  <c r="L76" i="4"/>
  <c r="Q19" i="4" s="1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3" i="4"/>
  <c r="L144" i="4"/>
  <c r="L145" i="4"/>
  <c r="L146" i="4"/>
  <c r="L147" i="4"/>
  <c r="L148" i="4"/>
  <c r="L149" i="4"/>
  <c r="L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7" i="4"/>
  <c r="K38" i="4"/>
  <c r="K39" i="4"/>
  <c r="K40" i="4"/>
  <c r="K41" i="4"/>
  <c r="K42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5" i="4"/>
  <c r="K76" i="4"/>
  <c r="P19" i="4" s="1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3" i="4"/>
  <c r="K144" i="4"/>
  <c r="K145" i="4"/>
  <c r="K146" i="4"/>
  <c r="K147" i="4"/>
  <c r="K148" i="4"/>
  <c r="K149" i="4"/>
  <c r="K4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F162" i="4" s="1"/>
  <c r="G162" i="4" s="1"/>
  <c r="E161" i="4"/>
  <c r="E160" i="4"/>
  <c r="E159" i="4"/>
  <c r="E158" i="4"/>
  <c r="E157" i="4"/>
  <c r="E156" i="4"/>
  <c r="E155" i="4"/>
  <c r="E154" i="4"/>
  <c r="E153" i="4"/>
  <c r="E152" i="4"/>
  <c r="E151" i="4"/>
  <c r="E150" i="4"/>
  <c r="F150" i="4" s="1"/>
  <c r="G150" i="4" s="1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F90" i="4" s="1"/>
  <c r="G90" i="4" s="1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M72" i="4"/>
  <c r="N72" i="4" s="1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F55" i="4" s="1"/>
  <c r="G55" i="4" s="1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F20" i="4" s="1"/>
  <c r="G20" i="4" s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Q7" i="4" s="1"/>
  <c r="E4" i="4"/>
  <c r="Q11" i="4" l="1"/>
  <c r="P11" i="4"/>
  <c r="P7" i="4"/>
  <c r="F170" i="4"/>
  <c r="G170" i="4" s="1"/>
  <c r="F41" i="4"/>
  <c r="G41" i="4" s="1"/>
  <c r="F137" i="4"/>
  <c r="G137" i="4" s="1"/>
  <c r="F174" i="4"/>
  <c r="G174" i="4" s="1"/>
  <c r="M14" i="4"/>
  <c r="N14" i="4" s="1"/>
  <c r="M113" i="4"/>
  <c r="N113" i="4" s="1"/>
  <c r="M135" i="4"/>
  <c r="N135" i="4" s="1"/>
  <c r="F24" i="4"/>
  <c r="G24" i="4" s="1"/>
  <c r="M27" i="4"/>
  <c r="N27" i="4" s="1"/>
  <c r="M111" i="4"/>
  <c r="N111" i="4" s="1"/>
  <c r="M35" i="4"/>
  <c r="N35" i="4" s="1"/>
  <c r="M86" i="4"/>
  <c r="N86" i="4" s="1"/>
  <c r="M49" i="4"/>
  <c r="N49" i="4" s="1"/>
  <c r="M144" i="4"/>
  <c r="N144" i="4" s="1"/>
  <c r="F158" i="4"/>
  <c r="G158" i="4" s="1"/>
  <c r="M107" i="4"/>
  <c r="N107" i="4" s="1"/>
  <c r="F116" i="4"/>
  <c r="G116" i="4" s="1"/>
  <c r="M58" i="4"/>
  <c r="N58" i="4" s="1"/>
  <c r="F10" i="4"/>
  <c r="G10" i="4" s="1"/>
  <c r="M77" i="4"/>
  <c r="N77" i="4" s="1"/>
  <c r="F105" i="4"/>
  <c r="G105" i="4" s="1"/>
  <c r="F36" i="4"/>
  <c r="G36" i="4" s="1"/>
  <c r="M123" i="4"/>
  <c r="N123" i="4" s="1"/>
  <c r="M39" i="4"/>
  <c r="N39" i="4" s="1"/>
  <c r="Q28" i="4" s="1"/>
  <c r="M97" i="4"/>
  <c r="N97" i="4" s="1"/>
  <c r="M104" i="4"/>
  <c r="N104" i="4" s="1"/>
  <c r="M26" i="4"/>
  <c r="N26" i="4" s="1"/>
  <c r="M71" i="4"/>
  <c r="N71" i="4" s="1"/>
  <c r="M32" i="4"/>
  <c r="N32" i="4" s="1"/>
  <c r="M38" i="4"/>
  <c r="N38" i="4" s="1"/>
  <c r="M88" i="4"/>
  <c r="N88" i="4" s="1"/>
  <c r="M115" i="4"/>
  <c r="N115" i="4" s="1"/>
  <c r="M98" i="4"/>
  <c r="N98" i="4" s="1"/>
  <c r="M41" i="4"/>
  <c r="N41" i="4" s="1"/>
  <c r="M137" i="4"/>
  <c r="N137" i="4" s="1"/>
  <c r="F100" i="4"/>
  <c r="G100" i="4" s="1"/>
  <c r="F76" i="4"/>
  <c r="G76" i="4" s="1"/>
  <c r="F111" i="4"/>
  <c r="G111" i="4" s="1"/>
  <c r="F159" i="4"/>
  <c r="G159" i="4" s="1"/>
  <c r="F135" i="4"/>
  <c r="G135" i="4" s="1"/>
  <c r="F144" i="4"/>
  <c r="G144" i="4" s="1"/>
  <c r="F107" i="4"/>
  <c r="G107" i="4" s="1"/>
  <c r="F28" i="4"/>
  <c r="G28" i="4" s="1"/>
  <c r="F98" i="4"/>
  <c r="G98" i="4" s="1"/>
  <c r="F130" i="4"/>
  <c r="G130" i="4" s="1"/>
  <c r="M54" i="4"/>
  <c r="N54" i="4" s="1"/>
  <c r="F6" i="4"/>
  <c r="G6" i="4" s="1"/>
  <c r="F97" i="4"/>
  <c r="G97" i="4" s="1"/>
  <c r="M132" i="4"/>
  <c r="N132" i="4" s="1"/>
  <c r="F66" i="4"/>
  <c r="G66" i="4" s="1"/>
  <c r="M73" i="4"/>
  <c r="N73" i="4" s="1"/>
  <c r="M143" i="4"/>
  <c r="N143" i="4" s="1"/>
  <c r="F165" i="4"/>
  <c r="G165" i="4" s="1"/>
  <c r="M20" i="4"/>
  <c r="N20" i="4" s="1"/>
  <c r="F50" i="4"/>
  <c r="G50" i="4" s="1"/>
  <c r="M64" i="4"/>
  <c r="N64" i="4" s="1"/>
  <c r="M40" i="4"/>
  <c r="N40" i="4" s="1"/>
  <c r="F57" i="4"/>
  <c r="G57" i="4" s="1"/>
  <c r="M69" i="4"/>
  <c r="N69" i="4" s="1"/>
  <c r="M90" i="4"/>
  <c r="N90" i="4" s="1"/>
  <c r="M117" i="4"/>
  <c r="N117" i="4" s="1"/>
  <c r="F132" i="4"/>
  <c r="G132" i="4" s="1"/>
  <c r="F146" i="4"/>
  <c r="G146" i="4" s="1"/>
  <c r="F108" i="4"/>
  <c r="G108" i="4" s="1"/>
  <c r="M118" i="4"/>
  <c r="N118" i="4" s="1"/>
  <c r="F17" i="4"/>
  <c r="G17" i="4" s="1"/>
  <c r="M47" i="4"/>
  <c r="N47" i="4" s="1"/>
  <c r="F99" i="4"/>
  <c r="G99" i="4" s="1"/>
  <c r="F40" i="4"/>
  <c r="G40" i="4" s="1"/>
  <c r="M52" i="4"/>
  <c r="N52" i="4" s="1"/>
  <c r="M105" i="4"/>
  <c r="N105" i="4" s="1"/>
  <c r="F115" i="4"/>
  <c r="G115" i="4" s="1"/>
  <c r="F131" i="4"/>
  <c r="G131" i="4" s="1"/>
  <c r="F138" i="4"/>
  <c r="G138" i="4" s="1"/>
  <c r="F155" i="4"/>
  <c r="G155" i="4" s="1"/>
  <c r="M12" i="4"/>
  <c r="N12" i="4" s="1"/>
  <c r="F29" i="4"/>
  <c r="G29" i="4" s="1"/>
  <c r="M114" i="4"/>
  <c r="N114" i="4" s="1"/>
  <c r="F124" i="4"/>
  <c r="G124" i="4" s="1"/>
  <c r="F161" i="4"/>
  <c r="G161" i="4" s="1"/>
  <c r="F93" i="4"/>
  <c r="G93" i="4" s="1"/>
  <c r="M103" i="4"/>
  <c r="N103" i="4" s="1"/>
  <c r="F156" i="4"/>
  <c r="G156" i="4" s="1"/>
  <c r="F167" i="4"/>
  <c r="G167" i="4" s="1"/>
  <c r="F11" i="4"/>
  <c r="G11" i="4" s="1"/>
  <c r="M42" i="4"/>
  <c r="N42" i="4" s="1"/>
  <c r="F7" i="4"/>
  <c r="G7" i="4" s="1"/>
  <c r="F30" i="4"/>
  <c r="G30" i="4" s="1"/>
  <c r="F46" i="4"/>
  <c r="G46" i="4" s="1"/>
  <c r="M67" i="4"/>
  <c r="N67" i="4" s="1"/>
  <c r="F67" i="4"/>
  <c r="G67" i="4" s="1"/>
  <c r="M79" i="4"/>
  <c r="N79" i="4" s="1"/>
  <c r="M84" i="4"/>
  <c r="N84" i="4" s="1"/>
  <c r="M106" i="4"/>
  <c r="N106" i="4" s="1"/>
  <c r="M122" i="4"/>
  <c r="N122" i="4" s="1"/>
  <c r="F125" i="4"/>
  <c r="G125" i="4" s="1"/>
  <c r="F163" i="4"/>
  <c r="G163" i="4" s="1"/>
  <c r="F169" i="4"/>
  <c r="G169" i="4" s="1"/>
  <c r="F180" i="4"/>
  <c r="G180" i="4" s="1"/>
  <c r="F192" i="4"/>
  <c r="G192" i="4" s="1"/>
  <c r="F198" i="4"/>
  <c r="G198" i="4" s="1"/>
  <c r="F194" i="4"/>
  <c r="G194" i="4" s="1"/>
  <c r="F14" i="4"/>
  <c r="G14" i="4" s="1"/>
  <c r="F35" i="4"/>
  <c r="G35" i="4" s="1"/>
  <c r="M65" i="4"/>
  <c r="N65" i="4" s="1"/>
  <c r="F103" i="4"/>
  <c r="G103" i="4" s="1"/>
  <c r="M120" i="4"/>
  <c r="N120" i="4" s="1"/>
  <c r="F123" i="4"/>
  <c r="G123" i="4" s="1"/>
  <c r="M146" i="4"/>
  <c r="N146" i="4" s="1"/>
  <c r="F175" i="4"/>
  <c r="G175" i="4" s="1"/>
  <c r="F199" i="4"/>
  <c r="G199" i="4" s="1"/>
  <c r="F205" i="4"/>
  <c r="G205" i="4" s="1"/>
  <c r="F134" i="4"/>
  <c r="G134" i="4" s="1"/>
  <c r="F197" i="4"/>
  <c r="G197" i="4" s="1"/>
  <c r="F48" i="4"/>
  <c r="G48" i="4" s="1"/>
  <c r="F63" i="4"/>
  <c r="G63" i="4" s="1"/>
  <c r="F61" i="4"/>
  <c r="G61" i="4" s="1"/>
  <c r="F189" i="4"/>
  <c r="G189" i="4" s="1"/>
  <c r="M53" i="4"/>
  <c r="N53" i="4" s="1"/>
  <c r="F101" i="4"/>
  <c r="G101" i="4" s="1"/>
  <c r="F121" i="4"/>
  <c r="G121" i="4" s="1"/>
  <c r="M134" i="4"/>
  <c r="N134" i="4" s="1"/>
  <c r="F176" i="4"/>
  <c r="G176" i="4" s="1"/>
  <c r="F39" i="4"/>
  <c r="G39" i="4" s="1"/>
  <c r="M9" i="4"/>
  <c r="N9" i="4" s="1"/>
  <c r="M22" i="4"/>
  <c r="N22" i="4" s="1"/>
  <c r="F168" i="4"/>
  <c r="G168" i="4" s="1"/>
  <c r="M76" i="4"/>
  <c r="N76" i="4" s="1"/>
  <c r="F112" i="4"/>
  <c r="G112" i="4" s="1"/>
  <c r="F114" i="4"/>
  <c r="G114" i="4" s="1"/>
  <c r="M125" i="4"/>
  <c r="N125" i="4" s="1"/>
  <c r="F160" i="4"/>
  <c r="G160" i="4" s="1"/>
  <c r="F164" i="4"/>
  <c r="G164" i="4" s="1"/>
  <c r="F12" i="4"/>
  <c r="G12" i="4" s="1"/>
  <c r="F22" i="4"/>
  <c r="G22" i="4" s="1"/>
  <c r="F73" i="4"/>
  <c r="G73" i="4" s="1"/>
  <c r="F148" i="4"/>
  <c r="G148" i="4" s="1"/>
  <c r="F188" i="4"/>
  <c r="G188" i="4" s="1"/>
  <c r="F201" i="4"/>
  <c r="G201" i="4" s="1"/>
  <c r="M8" i="4"/>
  <c r="N8" i="4" s="1"/>
  <c r="F193" i="4"/>
  <c r="G193" i="4" s="1"/>
  <c r="M100" i="4"/>
  <c r="N100" i="4" s="1"/>
  <c r="M124" i="4"/>
  <c r="N124" i="4" s="1"/>
  <c r="M81" i="4"/>
  <c r="N81" i="4" s="1"/>
  <c r="F87" i="4"/>
  <c r="G87" i="4" s="1"/>
  <c r="F91" i="4"/>
  <c r="G91" i="4" s="1"/>
  <c r="M130" i="4"/>
  <c r="N130" i="4" s="1"/>
  <c r="M145" i="4"/>
  <c r="N145" i="4" s="1"/>
  <c r="M149" i="4"/>
  <c r="N149" i="4" s="1"/>
  <c r="F202" i="4"/>
  <c r="G202" i="4" s="1"/>
  <c r="M16" i="4"/>
  <c r="N16" i="4" s="1"/>
  <c r="M83" i="4"/>
  <c r="N83" i="4" s="1"/>
  <c r="M89" i="4"/>
  <c r="N89" i="4" s="1"/>
  <c r="F117" i="4"/>
  <c r="G117" i="4" s="1"/>
  <c r="F181" i="4"/>
  <c r="G181" i="4" s="1"/>
  <c r="F185" i="4"/>
  <c r="G185" i="4" s="1"/>
  <c r="F171" i="4"/>
  <c r="G171" i="4" s="1"/>
  <c r="F15" i="4"/>
  <c r="G15" i="4" s="1"/>
  <c r="F37" i="4"/>
  <c r="G37" i="4" s="1"/>
  <c r="F45" i="4"/>
  <c r="G45" i="4" s="1"/>
  <c r="F49" i="4"/>
  <c r="G49" i="4" s="1"/>
  <c r="F51" i="4"/>
  <c r="G51" i="4" s="1"/>
  <c r="F82" i="4"/>
  <c r="G82" i="4" s="1"/>
  <c r="F129" i="4"/>
  <c r="G129" i="4" s="1"/>
  <c r="F64" i="4"/>
  <c r="G64" i="4" s="1"/>
  <c r="F74" i="4"/>
  <c r="G74" i="4" s="1"/>
  <c r="M99" i="4"/>
  <c r="N99" i="4" s="1"/>
  <c r="F177" i="4"/>
  <c r="G177" i="4" s="1"/>
  <c r="M17" i="4"/>
  <c r="N17" i="4" s="1"/>
  <c r="F88" i="4"/>
  <c r="G88" i="4" s="1"/>
  <c r="F92" i="4"/>
  <c r="G92" i="4" s="1"/>
  <c r="F8" i="4"/>
  <c r="G8" i="4" s="1"/>
  <c r="M46" i="4"/>
  <c r="N46" i="4" s="1"/>
  <c r="M80" i="4"/>
  <c r="N80" i="4" s="1"/>
  <c r="F94" i="4"/>
  <c r="G94" i="4" s="1"/>
  <c r="M109" i="4"/>
  <c r="N109" i="4" s="1"/>
  <c r="F147" i="4"/>
  <c r="G147" i="4" s="1"/>
  <c r="F173" i="4"/>
  <c r="G173" i="4" s="1"/>
  <c r="F53" i="4"/>
  <c r="G53" i="4" s="1"/>
  <c r="F106" i="4"/>
  <c r="G106" i="4" s="1"/>
  <c r="F84" i="4"/>
  <c r="G84" i="4" s="1"/>
  <c r="M131" i="4"/>
  <c r="N131" i="4" s="1"/>
  <c r="F141" i="4"/>
  <c r="G141" i="4" s="1"/>
  <c r="F143" i="4"/>
  <c r="G143" i="4" s="1"/>
  <c r="F145" i="4"/>
  <c r="G145" i="4" s="1"/>
  <c r="F157" i="4"/>
  <c r="G157" i="4" s="1"/>
  <c r="F34" i="4"/>
  <c r="G34" i="4" s="1"/>
  <c r="F78" i="4"/>
  <c r="G78" i="4" s="1"/>
  <c r="F118" i="4"/>
  <c r="G118" i="4" s="1"/>
  <c r="F139" i="4"/>
  <c r="G139" i="4" s="1"/>
  <c r="F153" i="4"/>
  <c r="G153" i="4" s="1"/>
  <c r="M18" i="4"/>
  <c r="N18" i="4" s="1"/>
  <c r="M29" i="4"/>
  <c r="N29" i="4" s="1"/>
  <c r="F149" i="4"/>
  <c r="G149" i="4" s="1"/>
  <c r="F186" i="4"/>
  <c r="G186" i="4" s="1"/>
  <c r="P23" i="4"/>
  <c r="M6" i="4"/>
  <c r="N6" i="4" s="1"/>
  <c r="M31" i="4"/>
  <c r="N31" i="4" s="1"/>
  <c r="F44" i="4"/>
  <c r="G44" i="4" s="1"/>
  <c r="M50" i="4"/>
  <c r="N50" i="4" s="1"/>
  <c r="M62" i="4"/>
  <c r="N62" i="4" s="1"/>
  <c r="M70" i="4"/>
  <c r="N70" i="4" s="1"/>
  <c r="F69" i="4"/>
  <c r="G69" i="4" s="1"/>
  <c r="M91" i="4"/>
  <c r="N91" i="4" s="1"/>
  <c r="M95" i="4"/>
  <c r="N95" i="4" s="1"/>
  <c r="M102" i="4"/>
  <c r="N102" i="4" s="1"/>
  <c r="M129" i="4"/>
  <c r="N129" i="4" s="1"/>
  <c r="M133" i="4"/>
  <c r="N133" i="4" s="1"/>
  <c r="M139" i="4"/>
  <c r="N139" i="4" s="1"/>
  <c r="F182" i="4"/>
  <c r="G182" i="4" s="1"/>
  <c r="Q3" i="4"/>
  <c r="F21" i="4"/>
  <c r="G21" i="4" s="1"/>
  <c r="F42" i="4"/>
  <c r="G42" i="4" s="1"/>
  <c r="F58" i="4"/>
  <c r="G58" i="4" s="1"/>
  <c r="M66" i="4"/>
  <c r="N66" i="4" s="1"/>
  <c r="F113" i="4"/>
  <c r="G113" i="4" s="1"/>
  <c r="F122" i="4"/>
  <c r="G122" i="4" s="1"/>
  <c r="F203" i="4"/>
  <c r="G203" i="4" s="1"/>
  <c r="M5" i="4"/>
  <c r="N5" i="4" s="1"/>
  <c r="M10" i="4"/>
  <c r="N10" i="4" s="1"/>
  <c r="M15" i="4"/>
  <c r="N15" i="4" s="1"/>
  <c r="F25" i="4"/>
  <c r="G25" i="4" s="1"/>
  <c r="F27" i="4"/>
  <c r="G27" i="4" s="1"/>
  <c r="F32" i="4"/>
  <c r="G32" i="4" s="1"/>
  <c r="M63" i="4"/>
  <c r="N63" i="4" s="1"/>
  <c r="F62" i="4"/>
  <c r="G62" i="4" s="1"/>
  <c r="F86" i="4"/>
  <c r="G86" i="4" s="1"/>
  <c r="F96" i="4"/>
  <c r="M136" i="4"/>
  <c r="N136" i="4" s="1"/>
  <c r="M140" i="4"/>
  <c r="N140" i="4" s="1"/>
  <c r="F195" i="4"/>
  <c r="G195" i="4" s="1"/>
  <c r="F9" i="4"/>
  <c r="G9" i="4" s="1"/>
  <c r="F47" i="4"/>
  <c r="G47" i="4" s="1"/>
  <c r="M55" i="4"/>
  <c r="N55" i="4" s="1"/>
  <c r="M59" i="4"/>
  <c r="N59" i="4" s="1"/>
  <c r="M75" i="4"/>
  <c r="N75" i="4" s="1"/>
  <c r="M108" i="4"/>
  <c r="N108" i="4" s="1"/>
  <c r="F140" i="4"/>
  <c r="G140" i="4" s="1"/>
  <c r="F204" i="4"/>
  <c r="G204" i="4" s="1"/>
  <c r="M85" i="4"/>
  <c r="N85" i="4" s="1"/>
  <c r="F183" i="4"/>
  <c r="G183" i="4" s="1"/>
  <c r="F75" i="4"/>
  <c r="G75" i="4" s="1"/>
  <c r="F110" i="4"/>
  <c r="G110" i="4" s="1"/>
  <c r="M33" i="4"/>
  <c r="N33" i="4" s="1"/>
  <c r="F52" i="4"/>
  <c r="G52" i="4" s="1"/>
  <c r="F65" i="4"/>
  <c r="G65" i="4" s="1"/>
  <c r="M34" i="4"/>
  <c r="N34" i="4" s="1"/>
  <c r="M45" i="4"/>
  <c r="N45" i="4" s="1"/>
  <c r="F26" i="4"/>
  <c r="G26" i="4" s="1"/>
  <c r="M21" i="4"/>
  <c r="N21" i="4" s="1"/>
  <c r="Q27" i="4" s="1"/>
  <c r="F71" i="4"/>
  <c r="G71" i="4" s="1"/>
  <c r="M127" i="4"/>
  <c r="N127" i="4" s="1"/>
  <c r="F104" i="4"/>
  <c r="G104" i="4" s="1"/>
  <c r="Q15" i="4"/>
  <c r="F43" i="4"/>
  <c r="G43" i="4" s="1"/>
  <c r="F79" i="4"/>
  <c r="G79" i="4" s="1"/>
  <c r="F127" i="4"/>
  <c r="G127" i="4" s="1"/>
  <c r="M116" i="4"/>
  <c r="N116" i="4" s="1"/>
  <c r="M112" i="4"/>
  <c r="N112" i="4" s="1"/>
  <c r="M23" i="4"/>
  <c r="N23" i="4" s="1"/>
  <c r="F38" i="4"/>
  <c r="G38" i="4" s="1"/>
  <c r="P3" i="4"/>
  <c r="F95" i="4"/>
  <c r="G95" i="4" s="1"/>
  <c r="F83" i="4"/>
  <c r="G83" i="4" s="1"/>
  <c r="P15" i="4"/>
  <c r="Q23" i="4"/>
  <c r="F19" i="4"/>
  <c r="G19" i="4" s="1"/>
  <c r="F23" i="4"/>
  <c r="G23" i="4" s="1"/>
  <c r="M61" i="4"/>
  <c r="N61" i="4" s="1"/>
  <c r="M11" i="4"/>
  <c r="N11" i="4" s="1"/>
  <c r="M57" i="4"/>
  <c r="N57" i="4" s="1"/>
  <c r="M24" i="4"/>
  <c r="N24" i="4" s="1"/>
  <c r="M13" i="4"/>
  <c r="N13" i="4" s="1"/>
  <c r="M4" i="4"/>
  <c r="N4" i="4" s="1"/>
  <c r="Q26" i="4" s="1"/>
  <c r="M28" i="4"/>
  <c r="N28" i="4" s="1"/>
  <c r="F33" i="4"/>
  <c r="G33" i="4" s="1"/>
  <c r="F5" i="4"/>
  <c r="G5" i="4" s="1"/>
  <c r="M48" i="4"/>
  <c r="N48" i="4" s="1"/>
  <c r="M7" i="4"/>
  <c r="N7" i="4" s="1"/>
  <c r="F13" i="4"/>
  <c r="G13" i="4" s="1"/>
  <c r="F16" i="4"/>
  <c r="G16" i="4" s="1"/>
  <c r="F31" i="4"/>
  <c r="G31" i="4" s="1"/>
  <c r="F54" i="4"/>
  <c r="G54" i="4" s="1"/>
  <c r="F70" i="4"/>
  <c r="M96" i="4"/>
  <c r="N96" i="4" s="1"/>
  <c r="F77" i="4"/>
  <c r="G77" i="4" s="1"/>
  <c r="M128" i="4"/>
  <c r="N128" i="4" s="1"/>
  <c r="F81" i="4"/>
  <c r="G81" i="4" s="1"/>
  <c r="F85" i="4"/>
  <c r="G85" i="4" s="1"/>
  <c r="F126" i="4"/>
  <c r="G126" i="4" s="1"/>
  <c r="F172" i="4"/>
  <c r="G172" i="4" s="1"/>
  <c r="F184" i="4"/>
  <c r="G184" i="4" s="1"/>
  <c r="F56" i="4"/>
  <c r="G56" i="4" s="1"/>
  <c r="F60" i="4"/>
  <c r="G60" i="4" s="1"/>
  <c r="F72" i="4"/>
  <c r="G72" i="4" s="1"/>
  <c r="M110" i="4"/>
  <c r="N110" i="4" s="1"/>
  <c r="F89" i="4"/>
  <c r="G89" i="4" s="1"/>
  <c r="M25" i="4"/>
  <c r="N25" i="4" s="1"/>
  <c r="F18" i="4"/>
  <c r="G18" i="4" s="1"/>
  <c r="M37" i="4"/>
  <c r="N37" i="4" s="1"/>
  <c r="M44" i="4"/>
  <c r="N44" i="4" s="1"/>
  <c r="F68" i="4"/>
  <c r="G68" i="4" s="1"/>
  <c r="F4" i="4"/>
  <c r="G4" i="4" s="1"/>
  <c r="M30" i="4"/>
  <c r="N30" i="4" s="1"/>
  <c r="F59" i="4"/>
  <c r="G59" i="4" s="1"/>
  <c r="M82" i="4"/>
  <c r="N82" i="4" s="1"/>
  <c r="F80" i="4"/>
  <c r="G80" i="4" s="1"/>
  <c r="F120" i="4"/>
  <c r="G120" i="4" s="1"/>
  <c r="F200" i="4"/>
  <c r="G200" i="4" s="1"/>
  <c r="F109" i="4"/>
  <c r="G109" i="4" s="1"/>
  <c r="M94" i="4"/>
  <c r="N94" i="4" s="1"/>
  <c r="M101" i="4"/>
  <c r="N101" i="4" s="1"/>
  <c r="F102" i="4"/>
  <c r="G102" i="4" s="1"/>
  <c r="M121" i="4"/>
  <c r="N121" i="4" s="1"/>
  <c r="F119" i="4"/>
  <c r="G119" i="4" s="1"/>
  <c r="M126" i="4"/>
  <c r="N126" i="4" s="1"/>
  <c r="F179" i="4"/>
  <c r="G179" i="4" s="1"/>
  <c r="F191" i="4"/>
  <c r="G191" i="4" s="1"/>
  <c r="M51" i="4"/>
  <c r="N51" i="4" s="1"/>
  <c r="M56" i="4"/>
  <c r="N56" i="4" s="1"/>
  <c r="M60" i="4"/>
  <c r="N60" i="4" s="1"/>
  <c r="M93" i="4"/>
  <c r="N93" i="4" s="1"/>
  <c r="M138" i="4"/>
  <c r="N138" i="4" s="1"/>
  <c r="M119" i="4"/>
  <c r="N119" i="4" s="1"/>
  <c r="M68" i="4"/>
  <c r="N68" i="4" s="1"/>
  <c r="M78" i="4"/>
  <c r="N78" i="4" s="1"/>
  <c r="M92" i="4"/>
  <c r="N92" i="4" s="1"/>
  <c r="F128" i="4"/>
  <c r="G128" i="4" s="1"/>
  <c r="M141" i="4"/>
  <c r="N141" i="4" s="1"/>
  <c r="M87" i="4"/>
  <c r="N87" i="4" s="1"/>
  <c r="F142" i="4"/>
  <c r="G142" i="4" s="1"/>
  <c r="M148" i="4"/>
  <c r="N148" i="4" s="1"/>
  <c r="F196" i="4"/>
  <c r="G196" i="4" s="1"/>
  <c r="F151" i="4"/>
  <c r="G151" i="4" s="1"/>
  <c r="F154" i="4"/>
  <c r="G154" i="4" s="1"/>
  <c r="F133" i="4"/>
  <c r="G133" i="4" s="1"/>
  <c r="M147" i="4"/>
  <c r="N147" i="4" s="1"/>
  <c r="F166" i="4"/>
  <c r="G166" i="4" s="1"/>
  <c r="F178" i="4"/>
  <c r="G178" i="4" s="1"/>
  <c r="F136" i="4"/>
  <c r="G136" i="4" s="1"/>
  <c r="F152" i="4"/>
  <c r="G152" i="4" s="1"/>
  <c r="F187" i="4"/>
  <c r="G187" i="4" s="1"/>
  <c r="F190" i="4"/>
  <c r="G190" i="4" s="1"/>
  <c r="G96" i="4" l="1"/>
  <c r="G70" i="4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7" i="3"/>
  <c r="P38" i="3"/>
  <c r="P39" i="3"/>
  <c r="P40" i="3"/>
  <c r="P41" i="3"/>
  <c r="P42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5" i="3"/>
  <c r="P76" i="3"/>
  <c r="X20" i="3" s="1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3" i="3"/>
  <c r="P144" i="3"/>
  <c r="P145" i="3"/>
  <c r="P146" i="3"/>
  <c r="P147" i="3"/>
  <c r="P148" i="3"/>
  <c r="P149" i="3"/>
  <c r="P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7" i="3"/>
  <c r="N38" i="3"/>
  <c r="N39" i="3"/>
  <c r="N40" i="3"/>
  <c r="N41" i="3"/>
  <c r="N42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5" i="3"/>
  <c r="N76" i="3"/>
  <c r="V20" i="3" s="1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3" i="3"/>
  <c r="N144" i="3"/>
  <c r="N145" i="3"/>
  <c r="N146" i="3"/>
  <c r="N147" i="3"/>
  <c r="N148" i="3"/>
  <c r="N149" i="3"/>
  <c r="N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7" i="3"/>
  <c r="O38" i="3"/>
  <c r="O39" i="3"/>
  <c r="O40" i="3"/>
  <c r="O41" i="3"/>
  <c r="O42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5" i="3"/>
  <c r="S75" i="3" s="1"/>
  <c r="T75" i="3" s="1"/>
  <c r="O76" i="3"/>
  <c r="W20" i="3" s="1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S123" i="3" s="1"/>
  <c r="T123" i="3" s="1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3" i="3"/>
  <c r="O144" i="3"/>
  <c r="O145" i="3"/>
  <c r="O146" i="3"/>
  <c r="O147" i="3"/>
  <c r="O148" i="3"/>
  <c r="O149" i="3"/>
  <c r="O4" i="3"/>
  <c r="X7" i="3" l="1"/>
  <c r="X11" i="3"/>
  <c r="V11" i="3"/>
  <c r="W15" i="3"/>
  <c r="W25" i="3"/>
  <c r="X25" i="3"/>
  <c r="W3" i="3"/>
  <c r="V25" i="3"/>
  <c r="I77" i="3"/>
  <c r="J77" i="3" s="1"/>
  <c r="W7" i="3"/>
  <c r="W11" i="3"/>
  <c r="X15" i="3"/>
  <c r="X3" i="3"/>
  <c r="S129" i="3"/>
  <c r="T129" i="3" s="1"/>
  <c r="V15" i="3"/>
  <c r="I142" i="3"/>
  <c r="J142" i="3" s="1"/>
  <c r="I106" i="3"/>
  <c r="J106" i="3" s="1"/>
  <c r="I34" i="3"/>
  <c r="J34" i="3" s="1"/>
  <c r="V3" i="3"/>
  <c r="V7" i="3"/>
  <c r="Q143" i="3"/>
  <c r="R143" i="3" s="1"/>
  <c r="I194" i="3"/>
  <c r="J194" i="3" s="1"/>
  <c r="I170" i="3"/>
  <c r="J170" i="3" s="1"/>
  <c r="I146" i="3"/>
  <c r="J146" i="3" s="1"/>
  <c r="I122" i="3"/>
  <c r="J122" i="3" s="1"/>
  <c r="I110" i="3"/>
  <c r="J110" i="3" s="1"/>
  <c r="I74" i="3"/>
  <c r="J74" i="3" s="1"/>
  <c r="I62" i="3"/>
  <c r="J62" i="3" s="1"/>
  <c r="I38" i="3"/>
  <c r="J38" i="3" s="1"/>
  <c r="I26" i="3"/>
  <c r="J26" i="3" s="1"/>
  <c r="I14" i="3"/>
  <c r="J14" i="3" s="1"/>
  <c r="Q31" i="3"/>
  <c r="R31" i="3" s="1"/>
  <c r="Q18" i="3"/>
  <c r="R18" i="3" s="1"/>
  <c r="Q6" i="3"/>
  <c r="R6" i="3" s="1"/>
  <c r="I128" i="3"/>
  <c r="J128" i="3" s="1"/>
  <c r="G35" i="3"/>
  <c r="H35" i="3" s="1"/>
  <c r="I200" i="3"/>
  <c r="J200" i="3" s="1"/>
  <c r="I152" i="3"/>
  <c r="J152" i="3" s="1"/>
  <c r="I92" i="3"/>
  <c r="J92" i="3" s="1"/>
  <c r="I80" i="3"/>
  <c r="J80" i="3" s="1"/>
  <c r="I44" i="3"/>
  <c r="J44" i="3" s="1"/>
  <c r="I32" i="3"/>
  <c r="J32" i="3" s="1"/>
  <c r="I20" i="3"/>
  <c r="J20" i="3" s="1"/>
  <c r="I8" i="3"/>
  <c r="J8" i="3" s="1"/>
  <c r="Q50" i="3"/>
  <c r="R50" i="3" s="1"/>
  <c r="I176" i="3"/>
  <c r="J176" i="3" s="1"/>
  <c r="I140" i="3"/>
  <c r="J140" i="3" s="1"/>
  <c r="I104" i="3"/>
  <c r="J104" i="3" s="1"/>
  <c r="I167" i="3"/>
  <c r="J167" i="3" s="1"/>
  <c r="I71" i="3"/>
  <c r="J71" i="3" s="1"/>
  <c r="I164" i="3"/>
  <c r="J164" i="3" s="1"/>
  <c r="Q128" i="3"/>
  <c r="R128" i="3" s="1"/>
  <c r="S141" i="3"/>
  <c r="T141" i="3" s="1"/>
  <c r="S117" i="3"/>
  <c r="T117" i="3" s="1"/>
  <c r="S105" i="3"/>
  <c r="T105" i="3" s="1"/>
  <c r="S81" i="3"/>
  <c r="T81" i="3" s="1"/>
  <c r="S68" i="3"/>
  <c r="T68" i="3" s="1"/>
  <c r="S44" i="3"/>
  <c r="T44" i="3" s="1"/>
  <c r="S30" i="3"/>
  <c r="T30" i="3" s="1"/>
  <c r="S17" i="3"/>
  <c r="T17" i="3" s="1"/>
  <c r="S5" i="3"/>
  <c r="T5" i="3" s="1"/>
  <c r="I188" i="3"/>
  <c r="J188" i="3" s="1"/>
  <c r="I116" i="3"/>
  <c r="J116" i="3" s="1"/>
  <c r="I68" i="3"/>
  <c r="J68" i="3" s="1"/>
  <c r="I178" i="3"/>
  <c r="J178" i="3" s="1"/>
  <c r="Q134" i="3"/>
  <c r="R134" i="3" s="1"/>
  <c r="S148" i="3"/>
  <c r="T148" i="3" s="1"/>
  <c r="S135" i="3"/>
  <c r="T135" i="3" s="1"/>
  <c r="S62" i="3"/>
  <c r="T62" i="3" s="1"/>
  <c r="S37" i="3"/>
  <c r="T37" i="3" s="1"/>
  <c r="S24" i="3"/>
  <c r="T24" i="3" s="1"/>
  <c r="S11" i="3"/>
  <c r="T11" i="3" s="1"/>
  <c r="S50" i="3"/>
  <c r="T50" i="3" s="1"/>
  <c r="Q123" i="3"/>
  <c r="R123" i="3" s="1"/>
  <c r="Q111" i="3"/>
  <c r="R111" i="3" s="1"/>
  <c r="Q122" i="3"/>
  <c r="R122" i="3" s="1"/>
  <c r="Q99" i="3"/>
  <c r="R99" i="3" s="1"/>
  <c r="Q87" i="3"/>
  <c r="R87" i="3" s="1"/>
  <c r="I182" i="3"/>
  <c r="J182" i="3" s="1"/>
  <c r="I158" i="3"/>
  <c r="J158" i="3" s="1"/>
  <c r="I134" i="3"/>
  <c r="J134" i="3" s="1"/>
  <c r="I98" i="3"/>
  <c r="J98" i="3" s="1"/>
  <c r="I86" i="3"/>
  <c r="J86" i="3" s="1"/>
  <c r="I50" i="3"/>
  <c r="J50" i="3" s="1"/>
  <c r="Q75" i="3"/>
  <c r="R75" i="3" s="1"/>
  <c r="S46" i="3"/>
  <c r="T46" i="3" s="1"/>
  <c r="I56" i="3"/>
  <c r="J56" i="3" s="1"/>
  <c r="Q45" i="3"/>
  <c r="R45" i="3" s="1"/>
  <c r="I79" i="3"/>
  <c r="J79" i="3" s="1"/>
  <c r="G173" i="3"/>
  <c r="H173" i="3" s="1"/>
  <c r="G161" i="3"/>
  <c r="H161" i="3" s="1"/>
  <c r="G137" i="3"/>
  <c r="H137" i="3" s="1"/>
  <c r="G125" i="3"/>
  <c r="H125" i="3" s="1"/>
  <c r="G65" i="3"/>
  <c r="H65" i="3" s="1"/>
  <c r="G53" i="3"/>
  <c r="H53" i="3" s="1"/>
  <c r="G41" i="3"/>
  <c r="H41" i="3" s="1"/>
  <c r="G29" i="3"/>
  <c r="H29" i="3" s="1"/>
  <c r="G5" i="3"/>
  <c r="H5" i="3" s="1"/>
  <c r="S40" i="3"/>
  <c r="T40" i="3" s="1"/>
  <c r="S56" i="3"/>
  <c r="T56" i="3" s="1"/>
  <c r="S13" i="3"/>
  <c r="T13" i="3" s="1"/>
  <c r="S77" i="3"/>
  <c r="T77" i="3" s="1"/>
  <c r="G197" i="3"/>
  <c r="H197" i="3" s="1"/>
  <c r="G185" i="3"/>
  <c r="H185" i="3" s="1"/>
  <c r="G101" i="3"/>
  <c r="H101" i="3" s="1"/>
  <c r="G89" i="3"/>
  <c r="H89" i="3" s="1"/>
  <c r="S99" i="3"/>
  <c r="T99" i="3" s="1"/>
  <c r="S89" i="3"/>
  <c r="T89" i="3" s="1"/>
  <c r="S111" i="3"/>
  <c r="T111" i="3" s="1"/>
  <c r="S87" i="3"/>
  <c r="T87" i="3" s="1"/>
  <c r="Q98" i="3"/>
  <c r="R98" i="3" s="1"/>
  <c r="Q118" i="3"/>
  <c r="R118" i="3" s="1"/>
  <c r="Q37" i="3"/>
  <c r="R37" i="3" s="1"/>
  <c r="Q24" i="3"/>
  <c r="R24" i="3" s="1"/>
  <c r="Q69" i="3"/>
  <c r="R69" i="3" s="1"/>
  <c r="S42" i="3"/>
  <c r="T42" i="3" s="1"/>
  <c r="Q86" i="3"/>
  <c r="R86" i="3" s="1"/>
  <c r="Q61" i="3"/>
  <c r="R61" i="3" s="1"/>
  <c r="Q106" i="3"/>
  <c r="R106" i="3" s="1"/>
  <c r="Q94" i="3"/>
  <c r="R94" i="3" s="1"/>
  <c r="Q35" i="3"/>
  <c r="R35" i="3" s="1"/>
  <c r="Q10" i="3"/>
  <c r="R10" i="3" s="1"/>
  <c r="G77" i="3"/>
  <c r="H77" i="3" s="1"/>
  <c r="G149" i="3"/>
  <c r="H149" i="3" s="1"/>
  <c r="G113" i="3"/>
  <c r="H113" i="3" s="1"/>
  <c r="Q130" i="3"/>
  <c r="R130" i="3" s="1"/>
  <c r="Q73" i="3"/>
  <c r="R73" i="3" s="1"/>
  <c r="Q62" i="3"/>
  <c r="R62" i="3" s="1"/>
  <c r="S93" i="3"/>
  <c r="T93" i="3" s="1"/>
  <c r="Q82" i="3"/>
  <c r="R82" i="3" s="1"/>
  <c r="Q49" i="3"/>
  <c r="R49" i="3" s="1"/>
  <c r="Q147" i="3"/>
  <c r="R147" i="3" s="1"/>
  <c r="Q135" i="3"/>
  <c r="R135" i="3" s="1"/>
  <c r="Q57" i="3"/>
  <c r="R57" i="3" s="1"/>
  <c r="Q23" i="3"/>
  <c r="R23" i="3" s="1"/>
  <c r="Q11" i="3"/>
  <c r="R11" i="3" s="1"/>
  <c r="S119" i="3"/>
  <c r="T119" i="3" s="1"/>
  <c r="S107" i="3"/>
  <c r="T107" i="3" s="1"/>
  <c r="S32" i="3"/>
  <c r="T32" i="3" s="1"/>
  <c r="I196" i="3"/>
  <c r="J196" i="3" s="1"/>
  <c r="I160" i="3"/>
  <c r="J160" i="3" s="1"/>
  <c r="I124" i="3"/>
  <c r="J124" i="3" s="1"/>
  <c r="I88" i="3"/>
  <c r="J88" i="3" s="1"/>
  <c r="I52" i="3"/>
  <c r="J52" i="3" s="1"/>
  <c r="I16" i="3"/>
  <c r="J16" i="3" s="1"/>
  <c r="G181" i="3"/>
  <c r="H181" i="3" s="1"/>
  <c r="G157" i="3"/>
  <c r="H157" i="3" s="1"/>
  <c r="G145" i="3"/>
  <c r="H145" i="3" s="1"/>
  <c r="G133" i="3"/>
  <c r="H133" i="3" s="1"/>
  <c r="G121" i="3"/>
  <c r="H121" i="3" s="1"/>
  <c r="G109" i="3"/>
  <c r="H109" i="3" s="1"/>
  <c r="G97" i="3"/>
  <c r="H97" i="3" s="1"/>
  <c r="G85" i="3"/>
  <c r="H85" i="3" s="1"/>
  <c r="G73" i="3"/>
  <c r="H73" i="3" s="1"/>
  <c r="G61" i="3"/>
  <c r="H61" i="3" s="1"/>
  <c r="G49" i="3"/>
  <c r="H49" i="3" s="1"/>
  <c r="G37" i="3"/>
  <c r="H37" i="3" s="1"/>
  <c r="G25" i="3"/>
  <c r="H25" i="3" s="1"/>
  <c r="G204" i="3"/>
  <c r="H204" i="3" s="1"/>
  <c r="G192" i="3"/>
  <c r="H192" i="3" s="1"/>
  <c r="G180" i="3"/>
  <c r="H180" i="3" s="1"/>
  <c r="G168" i="3"/>
  <c r="H168" i="3" s="1"/>
  <c r="G156" i="3"/>
  <c r="H156" i="3" s="1"/>
  <c r="G144" i="3"/>
  <c r="H144" i="3" s="1"/>
  <c r="G132" i="3"/>
  <c r="H132" i="3" s="1"/>
  <c r="G120" i="3"/>
  <c r="H120" i="3" s="1"/>
  <c r="G108" i="3"/>
  <c r="H108" i="3" s="1"/>
  <c r="G96" i="3"/>
  <c r="H96" i="3" s="1"/>
  <c r="G84" i="3"/>
  <c r="H84" i="3" s="1"/>
  <c r="G72" i="3"/>
  <c r="H72" i="3" s="1"/>
  <c r="G60" i="3"/>
  <c r="H60" i="3" s="1"/>
  <c r="G48" i="3"/>
  <c r="H48" i="3" s="1"/>
  <c r="G36" i="3"/>
  <c r="H36" i="3" s="1"/>
  <c r="G24" i="3"/>
  <c r="H24" i="3" s="1"/>
  <c r="G12" i="3"/>
  <c r="H12" i="3" s="1"/>
  <c r="G194" i="3"/>
  <c r="H194" i="3" s="1"/>
  <c r="G182" i="3"/>
  <c r="H182" i="3" s="1"/>
  <c r="G170" i="3"/>
  <c r="H170" i="3" s="1"/>
  <c r="G158" i="3"/>
  <c r="H158" i="3" s="1"/>
  <c r="G146" i="3"/>
  <c r="H146" i="3" s="1"/>
  <c r="G134" i="3"/>
  <c r="H134" i="3" s="1"/>
  <c r="G122" i="3"/>
  <c r="H122" i="3" s="1"/>
  <c r="G110" i="3"/>
  <c r="H110" i="3" s="1"/>
  <c r="G98" i="3"/>
  <c r="H98" i="3" s="1"/>
  <c r="G86" i="3"/>
  <c r="H86" i="3" s="1"/>
  <c r="G74" i="3"/>
  <c r="H74" i="3" s="1"/>
  <c r="G62" i="3"/>
  <c r="H62" i="3" s="1"/>
  <c r="G50" i="3"/>
  <c r="H50" i="3" s="1"/>
  <c r="G38" i="3"/>
  <c r="H38" i="3" s="1"/>
  <c r="G26" i="3"/>
  <c r="H26" i="3" s="1"/>
  <c r="G14" i="3"/>
  <c r="H14" i="3" s="1"/>
  <c r="G205" i="3"/>
  <c r="H205" i="3" s="1"/>
  <c r="G4" i="3"/>
  <c r="H4" i="3" s="1"/>
  <c r="G167" i="3"/>
  <c r="H167" i="3" s="1"/>
  <c r="G83" i="3"/>
  <c r="H83" i="3" s="1"/>
  <c r="G71" i="3"/>
  <c r="H71" i="3" s="1"/>
  <c r="G59" i="3"/>
  <c r="H59" i="3" s="1"/>
  <c r="G143" i="3"/>
  <c r="H143" i="3" s="1"/>
  <c r="G155" i="3"/>
  <c r="H155" i="3" s="1"/>
  <c r="G119" i="3"/>
  <c r="H119" i="3" s="1"/>
  <c r="Q107" i="3"/>
  <c r="R107" i="3" s="1"/>
  <c r="Q148" i="3"/>
  <c r="R148" i="3" s="1"/>
  <c r="G191" i="3"/>
  <c r="H191" i="3" s="1"/>
  <c r="G131" i="3"/>
  <c r="H131" i="3" s="1"/>
  <c r="G107" i="3"/>
  <c r="H107" i="3" s="1"/>
  <c r="Q119" i="3"/>
  <c r="R119" i="3" s="1"/>
  <c r="G195" i="3"/>
  <c r="H195" i="3" s="1"/>
  <c r="G183" i="3"/>
  <c r="H183" i="3" s="1"/>
  <c r="G171" i="3"/>
  <c r="H171" i="3" s="1"/>
  <c r="G159" i="3"/>
  <c r="H159" i="3" s="1"/>
  <c r="G147" i="3"/>
  <c r="H147" i="3" s="1"/>
  <c r="G135" i="3"/>
  <c r="H135" i="3" s="1"/>
  <c r="G123" i="3"/>
  <c r="H123" i="3" s="1"/>
  <c r="G111" i="3"/>
  <c r="H111" i="3" s="1"/>
  <c r="G99" i="3"/>
  <c r="H99" i="3" s="1"/>
  <c r="G87" i="3"/>
  <c r="H87" i="3" s="1"/>
  <c r="G75" i="3"/>
  <c r="H75" i="3" s="1"/>
  <c r="G63" i="3"/>
  <c r="H63" i="3" s="1"/>
  <c r="G51" i="3"/>
  <c r="H51" i="3" s="1"/>
  <c r="G39" i="3"/>
  <c r="H39" i="3" s="1"/>
  <c r="G27" i="3"/>
  <c r="H27" i="3" s="1"/>
  <c r="G15" i="3"/>
  <c r="H15" i="3" s="1"/>
  <c r="Q149" i="3"/>
  <c r="R149" i="3" s="1"/>
  <c r="Q136" i="3"/>
  <c r="R136" i="3" s="1"/>
  <c r="Q124" i="3"/>
  <c r="R124" i="3" s="1"/>
  <c r="Q112" i="3"/>
  <c r="R112" i="3" s="1"/>
  <c r="Q100" i="3"/>
  <c r="R100" i="3" s="1"/>
  <c r="Q88" i="3"/>
  <c r="R88" i="3" s="1"/>
  <c r="Q76" i="3"/>
  <c r="R76" i="3" s="1"/>
  <c r="Q63" i="3"/>
  <c r="R63" i="3" s="1"/>
  <c r="Q51" i="3"/>
  <c r="R51" i="3" s="1"/>
  <c r="Q38" i="3"/>
  <c r="R38" i="3" s="1"/>
  <c r="Q25" i="3"/>
  <c r="R25" i="3" s="1"/>
  <c r="Q12" i="3"/>
  <c r="R12" i="3" s="1"/>
  <c r="G42" i="3"/>
  <c r="H42" i="3" s="1"/>
  <c r="Q138" i="3"/>
  <c r="R138" i="3" s="1"/>
  <c r="Q126" i="3"/>
  <c r="R126" i="3" s="1"/>
  <c r="Q102" i="3"/>
  <c r="R102" i="3" s="1"/>
  <c r="Q65" i="3"/>
  <c r="R65" i="3" s="1"/>
  <c r="Q40" i="3"/>
  <c r="R40" i="3" s="1"/>
  <c r="Q27" i="3"/>
  <c r="R27" i="3" s="1"/>
  <c r="Q14" i="3"/>
  <c r="R14" i="3" s="1"/>
  <c r="I169" i="3"/>
  <c r="J169" i="3" s="1"/>
  <c r="S55" i="3"/>
  <c r="T55" i="3" s="1"/>
  <c r="I179" i="3"/>
  <c r="J179" i="3" s="1"/>
  <c r="I41" i="3"/>
  <c r="J41" i="3" s="1"/>
  <c r="I23" i="3"/>
  <c r="J23" i="3" s="1"/>
  <c r="I11" i="3"/>
  <c r="J11" i="3" s="1"/>
  <c r="S126" i="3"/>
  <c r="T126" i="3" s="1"/>
  <c r="Q120" i="3"/>
  <c r="R120" i="3" s="1"/>
  <c r="Q108" i="3"/>
  <c r="R108" i="3" s="1"/>
  <c r="Q96" i="3"/>
  <c r="R96" i="3" s="1"/>
  <c r="S90" i="3"/>
  <c r="T90" i="3" s="1"/>
  <c r="S84" i="3"/>
  <c r="T84" i="3" s="1"/>
  <c r="S71" i="3"/>
  <c r="T71" i="3" s="1"/>
  <c r="S65" i="3"/>
  <c r="T65" i="3" s="1"/>
  <c r="Q47" i="3"/>
  <c r="R47" i="3" s="1"/>
  <c r="S14" i="3"/>
  <c r="T14" i="3" s="1"/>
  <c r="I203" i="3"/>
  <c r="J203" i="3" s="1"/>
  <c r="Q46" i="3"/>
  <c r="R46" i="3" s="1"/>
  <c r="Q32" i="3"/>
  <c r="R32" i="3" s="1"/>
  <c r="G169" i="3"/>
  <c r="H169" i="3" s="1"/>
  <c r="I13" i="3"/>
  <c r="J13" i="3" s="1"/>
  <c r="G13" i="3"/>
  <c r="H13" i="3" s="1"/>
  <c r="Q110" i="3"/>
  <c r="R110" i="3" s="1"/>
  <c r="S110" i="3"/>
  <c r="T110" i="3" s="1"/>
  <c r="S108" i="3"/>
  <c r="T108" i="3" s="1"/>
  <c r="I197" i="3"/>
  <c r="J197" i="3" s="1"/>
  <c r="I35" i="3"/>
  <c r="J35" i="3" s="1"/>
  <c r="S132" i="3"/>
  <c r="T132" i="3" s="1"/>
  <c r="S59" i="3"/>
  <c r="T59" i="3" s="1"/>
  <c r="S21" i="3"/>
  <c r="T21" i="3" s="1"/>
  <c r="W29" i="3" s="1"/>
  <c r="I151" i="3"/>
  <c r="J151" i="3" s="1"/>
  <c r="I133" i="3"/>
  <c r="J133" i="3" s="1"/>
  <c r="I115" i="3"/>
  <c r="J115" i="3" s="1"/>
  <c r="I97" i="3"/>
  <c r="J97" i="3" s="1"/>
  <c r="I61" i="3"/>
  <c r="J61" i="3" s="1"/>
  <c r="I43" i="3"/>
  <c r="J43" i="3" s="1"/>
  <c r="I37" i="3"/>
  <c r="J37" i="3" s="1"/>
  <c r="I25" i="3"/>
  <c r="J25" i="3" s="1"/>
  <c r="I19" i="3"/>
  <c r="J19" i="3" s="1"/>
  <c r="I7" i="3"/>
  <c r="J7" i="3" s="1"/>
  <c r="S147" i="3"/>
  <c r="T147" i="3" s="1"/>
  <c r="S140" i="3"/>
  <c r="T140" i="3" s="1"/>
  <c r="S134" i="3"/>
  <c r="T134" i="3" s="1"/>
  <c r="S128" i="3"/>
  <c r="T128" i="3" s="1"/>
  <c r="S122" i="3"/>
  <c r="T122" i="3" s="1"/>
  <c r="S116" i="3"/>
  <c r="T116" i="3" s="1"/>
  <c r="S104" i="3"/>
  <c r="T104" i="3" s="1"/>
  <c r="S98" i="3"/>
  <c r="T98" i="3" s="1"/>
  <c r="S92" i="3"/>
  <c r="T92" i="3" s="1"/>
  <c r="S86" i="3"/>
  <c r="T86" i="3" s="1"/>
  <c r="S80" i="3"/>
  <c r="T80" i="3" s="1"/>
  <c r="S73" i="3"/>
  <c r="T73" i="3" s="1"/>
  <c r="S67" i="3"/>
  <c r="T67" i="3" s="1"/>
  <c r="S61" i="3"/>
  <c r="T61" i="3" s="1"/>
  <c r="S49" i="3"/>
  <c r="T49" i="3" s="1"/>
  <c r="S35" i="3"/>
  <c r="T35" i="3" s="1"/>
  <c r="S29" i="3"/>
  <c r="T29" i="3" s="1"/>
  <c r="S23" i="3"/>
  <c r="T23" i="3" s="1"/>
  <c r="S16" i="3"/>
  <c r="T16" i="3" s="1"/>
  <c r="S10" i="3"/>
  <c r="T10" i="3" s="1"/>
  <c r="Q146" i="3"/>
  <c r="R146" i="3" s="1"/>
  <c r="Q133" i="3"/>
  <c r="R133" i="3" s="1"/>
  <c r="Q121" i="3"/>
  <c r="R121" i="3" s="1"/>
  <c r="Q109" i="3"/>
  <c r="R109" i="3" s="1"/>
  <c r="Q97" i="3"/>
  <c r="R97" i="3" s="1"/>
  <c r="Q85" i="3"/>
  <c r="R85" i="3" s="1"/>
  <c r="Q72" i="3"/>
  <c r="R72" i="3" s="1"/>
  <c r="Q60" i="3"/>
  <c r="R60" i="3" s="1"/>
  <c r="Q48" i="3"/>
  <c r="R48" i="3" s="1"/>
  <c r="Q34" i="3"/>
  <c r="R34" i="3" s="1"/>
  <c r="Q22" i="3"/>
  <c r="R22" i="3" s="1"/>
  <c r="Q9" i="3"/>
  <c r="R9" i="3" s="1"/>
  <c r="Q132" i="3"/>
  <c r="R132" i="3" s="1"/>
  <c r="Q71" i="3"/>
  <c r="R71" i="3" s="1"/>
  <c r="Q59" i="3"/>
  <c r="R59" i="3" s="1"/>
  <c r="Q33" i="3"/>
  <c r="R33" i="3" s="1"/>
  <c r="Q21" i="3"/>
  <c r="R21" i="3" s="1"/>
  <c r="Q8" i="3"/>
  <c r="R8" i="3" s="1"/>
  <c r="I185" i="3"/>
  <c r="J185" i="3" s="1"/>
  <c r="I161" i="3"/>
  <c r="J161" i="3" s="1"/>
  <c r="I149" i="3"/>
  <c r="J149" i="3" s="1"/>
  <c r="I143" i="3"/>
  <c r="J143" i="3" s="1"/>
  <c r="I125" i="3"/>
  <c r="J125" i="3" s="1"/>
  <c r="I113" i="3"/>
  <c r="J113" i="3" s="1"/>
  <c r="I107" i="3"/>
  <c r="J107" i="3" s="1"/>
  <c r="I95" i="3"/>
  <c r="J95" i="3" s="1"/>
  <c r="I89" i="3"/>
  <c r="J89" i="3" s="1"/>
  <c r="I59" i="3"/>
  <c r="J59" i="3" s="1"/>
  <c r="I53" i="3"/>
  <c r="J53" i="3" s="1"/>
  <c r="I17" i="3"/>
  <c r="J17" i="3" s="1"/>
  <c r="I5" i="3"/>
  <c r="J5" i="3" s="1"/>
  <c r="S138" i="3"/>
  <c r="T138" i="3" s="1"/>
  <c r="S102" i="3"/>
  <c r="T102" i="3" s="1"/>
  <c r="S96" i="3"/>
  <c r="T96" i="3" s="1"/>
  <c r="S78" i="3"/>
  <c r="T78" i="3" s="1"/>
  <c r="S53" i="3"/>
  <c r="T53" i="3" s="1"/>
  <c r="S47" i="3"/>
  <c r="T47" i="3" s="1"/>
  <c r="S33" i="3"/>
  <c r="T33" i="3" s="1"/>
  <c r="S27" i="3"/>
  <c r="T27" i="3" s="1"/>
  <c r="S8" i="3"/>
  <c r="T8" i="3" s="1"/>
  <c r="G179" i="3"/>
  <c r="H179" i="3" s="1"/>
  <c r="G95" i="3"/>
  <c r="H95" i="3" s="1"/>
  <c r="G23" i="3"/>
  <c r="H23" i="3" s="1"/>
  <c r="Q78" i="3"/>
  <c r="R78" i="3" s="1"/>
  <c r="Q53" i="3"/>
  <c r="R53" i="3" s="1"/>
  <c r="I131" i="3"/>
  <c r="J131" i="3" s="1"/>
  <c r="Q4" i="3"/>
  <c r="R4" i="3" s="1"/>
  <c r="G202" i="3"/>
  <c r="H202" i="3" s="1"/>
  <c r="G196" i="3"/>
  <c r="H196" i="3" s="1"/>
  <c r="G190" i="3"/>
  <c r="H190" i="3" s="1"/>
  <c r="G184" i="3"/>
  <c r="H184" i="3" s="1"/>
  <c r="G178" i="3"/>
  <c r="H178" i="3" s="1"/>
  <c r="G172" i="3"/>
  <c r="H172" i="3" s="1"/>
  <c r="G166" i="3"/>
  <c r="H166" i="3" s="1"/>
  <c r="G160" i="3"/>
  <c r="H160" i="3" s="1"/>
  <c r="G154" i="3"/>
  <c r="H154" i="3" s="1"/>
  <c r="G148" i="3"/>
  <c r="H148" i="3" s="1"/>
  <c r="G142" i="3"/>
  <c r="H142" i="3" s="1"/>
  <c r="G136" i="3"/>
  <c r="H136" i="3" s="1"/>
  <c r="G130" i="3"/>
  <c r="H130" i="3" s="1"/>
  <c r="G124" i="3"/>
  <c r="H124" i="3" s="1"/>
  <c r="G118" i="3"/>
  <c r="H118" i="3" s="1"/>
  <c r="G112" i="3"/>
  <c r="H112" i="3" s="1"/>
  <c r="G106" i="3"/>
  <c r="H106" i="3" s="1"/>
  <c r="G100" i="3"/>
  <c r="H100" i="3" s="1"/>
  <c r="G94" i="3"/>
  <c r="H94" i="3" s="1"/>
  <c r="G88" i="3"/>
  <c r="H88" i="3" s="1"/>
  <c r="G82" i="3"/>
  <c r="H82" i="3" s="1"/>
  <c r="G76" i="3"/>
  <c r="H76" i="3" s="1"/>
  <c r="G70" i="3"/>
  <c r="H70" i="3" s="1"/>
  <c r="G52" i="3"/>
  <c r="H52" i="3" s="1"/>
  <c r="G34" i="3"/>
  <c r="H34" i="3" s="1"/>
  <c r="G16" i="3"/>
  <c r="H16" i="3" s="1"/>
  <c r="Q137" i="3"/>
  <c r="R137" i="3" s="1"/>
  <c r="Q89" i="3"/>
  <c r="R89" i="3" s="1"/>
  <c r="Q77" i="3"/>
  <c r="R77" i="3" s="1"/>
  <c r="Q64" i="3"/>
  <c r="R64" i="3" s="1"/>
  <c r="Q13" i="3"/>
  <c r="R13" i="3" s="1"/>
  <c r="Q140" i="3"/>
  <c r="R140" i="3" s="1"/>
  <c r="Q116" i="3"/>
  <c r="R116" i="3" s="1"/>
  <c r="Q80" i="3"/>
  <c r="R80" i="3" s="1"/>
  <c r="Q67" i="3"/>
  <c r="R67" i="3" s="1"/>
  <c r="Q55" i="3"/>
  <c r="R55" i="3" s="1"/>
  <c r="Q42" i="3"/>
  <c r="R42" i="3" s="1"/>
  <c r="I123" i="3"/>
  <c r="J123" i="3" s="1"/>
  <c r="I105" i="3"/>
  <c r="J105" i="3" s="1"/>
  <c r="I99" i="3"/>
  <c r="J99" i="3" s="1"/>
  <c r="I81" i="3"/>
  <c r="J81" i="3" s="1"/>
  <c r="I69" i="3"/>
  <c r="J69" i="3" s="1"/>
  <c r="I51" i="3"/>
  <c r="J51" i="3" s="1"/>
  <c r="I33" i="3"/>
  <c r="J33" i="3" s="1"/>
  <c r="G151" i="3"/>
  <c r="H151" i="3" s="1"/>
  <c r="G115" i="3"/>
  <c r="H115" i="3" s="1"/>
  <c r="G79" i="3"/>
  <c r="H79" i="3" s="1"/>
  <c r="G43" i="3"/>
  <c r="H43" i="3" s="1"/>
  <c r="G201" i="3"/>
  <c r="H201" i="3" s="1"/>
  <c r="G189" i="3"/>
  <c r="H189" i="3" s="1"/>
  <c r="G177" i="3"/>
  <c r="H177" i="3" s="1"/>
  <c r="G165" i="3"/>
  <c r="H165" i="3" s="1"/>
  <c r="G153" i="3"/>
  <c r="H153" i="3" s="1"/>
  <c r="G141" i="3"/>
  <c r="H141" i="3" s="1"/>
  <c r="G129" i="3"/>
  <c r="H129" i="3" s="1"/>
  <c r="G117" i="3"/>
  <c r="H117" i="3" s="1"/>
  <c r="G105" i="3"/>
  <c r="H105" i="3" s="1"/>
  <c r="G93" i="3"/>
  <c r="H93" i="3" s="1"/>
  <c r="G81" i="3"/>
  <c r="H81" i="3" s="1"/>
  <c r="G69" i="3"/>
  <c r="H69" i="3" s="1"/>
  <c r="G57" i="3"/>
  <c r="H57" i="3" s="1"/>
  <c r="G45" i="3"/>
  <c r="H45" i="3" s="1"/>
  <c r="G33" i="3"/>
  <c r="H33" i="3" s="1"/>
  <c r="G21" i="3"/>
  <c r="H21" i="3" s="1"/>
  <c r="G9" i="3"/>
  <c r="H9" i="3" s="1"/>
  <c r="G186" i="3"/>
  <c r="H186" i="3" s="1"/>
  <c r="G174" i="3"/>
  <c r="H174" i="3" s="1"/>
  <c r="G162" i="3"/>
  <c r="H162" i="3" s="1"/>
  <c r="G150" i="3"/>
  <c r="H150" i="3" s="1"/>
  <c r="G138" i="3"/>
  <c r="H138" i="3" s="1"/>
  <c r="G126" i="3"/>
  <c r="H126" i="3" s="1"/>
  <c r="G114" i="3"/>
  <c r="H114" i="3" s="1"/>
  <c r="G102" i="3"/>
  <c r="H102" i="3" s="1"/>
  <c r="G90" i="3"/>
  <c r="H90" i="3" s="1"/>
  <c r="G78" i="3"/>
  <c r="H78" i="3" s="1"/>
  <c r="G66" i="3"/>
  <c r="H66" i="3" s="1"/>
  <c r="G54" i="3"/>
  <c r="H54" i="3" s="1"/>
  <c r="G30" i="3"/>
  <c r="H30" i="3" s="1"/>
  <c r="G18" i="3"/>
  <c r="H18" i="3" s="1"/>
  <c r="G6" i="3"/>
  <c r="H6" i="3" s="1"/>
  <c r="Q139" i="3"/>
  <c r="R139" i="3" s="1"/>
  <c r="Q127" i="3"/>
  <c r="R127" i="3" s="1"/>
  <c r="Q115" i="3"/>
  <c r="R115" i="3" s="1"/>
  <c r="Q103" i="3"/>
  <c r="R103" i="3" s="1"/>
  <c r="S4" i="3"/>
  <c r="T4" i="3" s="1"/>
  <c r="W28" i="3" s="1"/>
  <c r="S131" i="3"/>
  <c r="T131" i="3" s="1"/>
  <c r="S58" i="3"/>
  <c r="T58" i="3" s="1"/>
  <c r="Q141" i="3"/>
  <c r="R141" i="3" s="1"/>
  <c r="Q129" i="3"/>
  <c r="R129" i="3" s="1"/>
  <c r="Q117" i="3"/>
  <c r="R117" i="3" s="1"/>
  <c r="Q105" i="3"/>
  <c r="R105" i="3" s="1"/>
  <c r="Q93" i="3"/>
  <c r="R93" i="3" s="1"/>
  <c r="Q81" i="3"/>
  <c r="R81" i="3" s="1"/>
  <c r="Q68" i="3"/>
  <c r="R68" i="3" s="1"/>
  <c r="Q56" i="3"/>
  <c r="R56" i="3" s="1"/>
  <c r="Q44" i="3"/>
  <c r="R44" i="3" s="1"/>
  <c r="Q30" i="3"/>
  <c r="R30" i="3" s="1"/>
  <c r="Q17" i="3"/>
  <c r="R17" i="3" s="1"/>
  <c r="Q5" i="3"/>
  <c r="R5" i="3" s="1"/>
  <c r="G187" i="3"/>
  <c r="H187" i="3" s="1"/>
  <c r="G175" i="3"/>
  <c r="H175" i="3" s="1"/>
  <c r="G163" i="3"/>
  <c r="H163" i="3" s="1"/>
  <c r="G139" i="3"/>
  <c r="H139" i="3" s="1"/>
  <c r="G127" i="3"/>
  <c r="H127" i="3" s="1"/>
  <c r="G103" i="3"/>
  <c r="H103" i="3" s="1"/>
  <c r="G91" i="3"/>
  <c r="H91" i="3" s="1"/>
  <c r="G67" i="3"/>
  <c r="H67" i="3" s="1"/>
  <c r="G55" i="3"/>
  <c r="H55" i="3" s="1"/>
  <c r="G31" i="3"/>
  <c r="H31" i="3" s="1"/>
  <c r="G19" i="3"/>
  <c r="H19" i="3" s="1"/>
  <c r="G7" i="3"/>
  <c r="H7" i="3" s="1"/>
  <c r="Q104" i="3"/>
  <c r="R104" i="3" s="1"/>
  <c r="Q92" i="3"/>
  <c r="R92" i="3" s="1"/>
  <c r="Q29" i="3"/>
  <c r="R29" i="3" s="1"/>
  <c r="Q16" i="3"/>
  <c r="R16" i="3" s="1"/>
  <c r="I204" i="3"/>
  <c r="J204" i="3" s="1"/>
  <c r="I198" i="3"/>
  <c r="J198" i="3" s="1"/>
  <c r="I192" i="3"/>
  <c r="J192" i="3" s="1"/>
  <c r="I186" i="3"/>
  <c r="J186" i="3" s="1"/>
  <c r="I180" i="3"/>
  <c r="J180" i="3" s="1"/>
  <c r="I174" i="3"/>
  <c r="J174" i="3" s="1"/>
  <c r="Q91" i="3"/>
  <c r="R91" i="3" s="1"/>
  <c r="Q79" i="3"/>
  <c r="R79" i="3" s="1"/>
  <c r="Q66" i="3"/>
  <c r="R66" i="3" s="1"/>
  <c r="Q54" i="3"/>
  <c r="R54" i="3" s="1"/>
  <c r="Q41" i="3"/>
  <c r="R41" i="3" s="1"/>
  <c r="Q28" i="3"/>
  <c r="R28" i="3" s="1"/>
  <c r="Q15" i="3"/>
  <c r="R15" i="3" s="1"/>
  <c r="G203" i="3"/>
  <c r="H203" i="3" s="1"/>
  <c r="I191" i="3"/>
  <c r="J191" i="3" s="1"/>
  <c r="I173" i="3"/>
  <c r="J173" i="3" s="1"/>
  <c r="I155" i="3"/>
  <c r="J155" i="3" s="1"/>
  <c r="I137" i="3"/>
  <c r="J137" i="3" s="1"/>
  <c r="I119" i="3"/>
  <c r="J119" i="3" s="1"/>
  <c r="I101" i="3"/>
  <c r="J101" i="3" s="1"/>
  <c r="I83" i="3"/>
  <c r="J83" i="3" s="1"/>
  <c r="I65" i="3"/>
  <c r="J65" i="3" s="1"/>
  <c r="I47" i="3"/>
  <c r="J47" i="3" s="1"/>
  <c r="I29" i="3"/>
  <c r="J29" i="3" s="1"/>
  <c r="G17" i="3"/>
  <c r="H17" i="3" s="1"/>
  <c r="G11" i="3"/>
  <c r="H11" i="3" s="1"/>
  <c r="Q145" i="3"/>
  <c r="R145" i="3" s="1"/>
  <c r="S120" i="3"/>
  <c r="T120" i="3" s="1"/>
  <c r="S114" i="3"/>
  <c r="T114" i="3" s="1"/>
  <c r="Q90" i="3"/>
  <c r="R90" i="3" s="1"/>
  <c r="Q84" i="3"/>
  <c r="R84" i="3" s="1"/>
  <c r="G47" i="3"/>
  <c r="H47" i="3" s="1"/>
  <c r="Q114" i="3"/>
  <c r="R114" i="3" s="1"/>
  <c r="I4" i="3"/>
  <c r="J4" i="3" s="1"/>
  <c r="G200" i="3"/>
  <c r="H200" i="3" s="1"/>
  <c r="G188" i="3"/>
  <c r="H188" i="3" s="1"/>
  <c r="G176" i="3"/>
  <c r="H176" i="3" s="1"/>
  <c r="G164" i="3"/>
  <c r="H164" i="3" s="1"/>
  <c r="G152" i="3"/>
  <c r="H152" i="3" s="1"/>
  <c r="I141" i="3"/>
  <c r="J141" i="3" s="1"/>
  <c r="G193" i="3"/>
  <c r="H193" i="3" s="1"/>
  <c r="I193" i="3"/>
  <c r="J193" i="3" s="1"/>
  <c r="I177" i="3"/>
  <c r="J177" i="3" s="1"/>
  <c r="I195" i="3"/>
  <c r="J195" i="3" s="1"/>
  <c r="I171" i="3"/>
  <c r="J171" i="3" s="1"/>
  <c r="I153" i="3"/>
  <c r="J153" i="3" s="1"/>
  <c r="I189" i="3"/>
  <c r="J189" i="3" s="1"/>
  <c r="I202" i="3"/>
  <c r="J202" i="3" s="1"/>
  <c r="I190" i="3"/>
  <c r="J190" i="3" s="1"/>
  <c r="I184" i="3"/>
  <c r="J184" i="3" s="1"/>
  <c r="I172" i="3"/>
  <c r="J172" i="3" s="1"/>
  <c r="I166" i="3"/>
  <c r="J166" i="3" s="1"/>
  <c r="I154" i="3"/>
  <c r="J154" i="3" s="1"/>
  <c r="I148" i="3"/>
  <c r="J148" i="3" s="1"/>
  <c r="I136" i="3"/>
  <c r="J136" i="3" s="1"/>
  <c r="I130" i="3"/>
  <c r="J130" i="3" s="1"/>
  <c r="I118" i="3"/>
  <c r="J118" i="3" s="1"/>
  <c r="I112" i="3"/>
  <c r="J112" i="3" s="1"/>
  <c r="I100" i="3"/>
  <c r="I94" i="3"/>
  <c r="J94" i="3" s="1"/>
  <c r="I82" i="3"/>
  <c r="J82" i="3" s="1"/>
  <c r="I76" i="3"/>
  <c r="J76" i="3" s="1"/>
  <c r="I187" i="3"/>
  <c r="J187" i="3" s="1"/>
  <c r="I70" i="3"/>
  <c r="S137" i="3"/>
  <c r="T137" i="3" s="1"/>
  <c r="S64" i="3"/>
  <c r="T64" i="3" s="1"/>
  <c r="G199" i="3"/>
  <c r="H199" i="3" s="1"/>
  <c r="I199" i="3"/>
  <c r="J199" i="3" s="1"/>
  <c r="G198" i="3"/>
  <c r="H198" i="3" s="1"/>
  <c r="G40" i="3"/>
  <c r="H40" i="3" s="1"/>
  <c r="I40" i="3"/>
  <c r="J40" i="3" s="1"/>
  <c r="G22" i="3"/>
  <c r="H22" i="3" s="1"/>
  <c r="I22" i="3"/>
  <c r="J22" i="3" s="1"/>
  <c r="Q144" i="3"/>
  <c r="R144" i="3" s="1"/>
  <c r="S144" i="3"/>
  <c r="T144" i="3" s="1"/>
  <c r="Q125" i="3"/>
  <c r="R125" i="3" s="1"/>
  <c r="S125" i="3"/>
  <c r="T125" i="3" s="1"/>
  <c r="S113" i="3"/>
  <c r="T113" i="3" s="1"/>
  <c r="Q113" i="3"/>
  <c r="R113" i="3" s="1"/>
  <c r="Q101" i="3"/>
  <c r="R101" i="3" s="1"/>
  <c r="S101" i="3"/>
  <c r="T101" i="3" s="1"/>
  <c r="Q95" i="3"/>
  <c r="R95" i="3" s="1"/>
  <c r="S95" i="3"/>
  <c r="T95" i="3" s="1"/>
  <c r="Q83" i="3"/>
  <c r="R83" i="3" s="1"/>
  <c r="S83" i="3"/>
  <c r="T83" i="3" s="1"/>
  <c r="Q70" i="3"/>
  <c r="R70" i="3" s="1"/>
  <c r="S70" i="3"/>
  <c r="T70" i="3" s="1"/>
  <c r="Q52" i="3"/>
  <c r="R52" i="3" s="1"/>
  <c r="S52" i="3"/>
  <c r="T52" i="3" s="1"/>
  <c r="S39" i="3"/>
  <c r="T39" i="3" s="1"/>
  <c r="W30" i="3" s="1"/>
  <c r="Q39" i="3"/>
  <c r="R39" i="3" s="1"/>
  <c r="Q26" i="3"/>
  <c r="R26" i="3" s="1"/>
  <c r="S26" i="3"/>
  <c r="T26" i="3" s="1"/>
  <c r="Q20" i="3"/>
  <c r="R20" i="3" s="1"/>
  <c r="S20" i="3"/>
  <c r="T20" i="3" s="1"/>
  <c r="Q7" i="3"/>
  <c r="R7" i="3" s="1"/>
  <c r="S7" i="3"/>
  <c r="T7" i="3" s="1"/>
  <c r="I205" i="3"/>
  <c r="J205" i="3" s="1"/>
  <c r="I87" i="3"/>
  <c r="J87" i="3" s="1"/>
  <c r="I63" i="3"/>
  <c r="J63" i="3" s="1"/>
  <c r="I45" i="3"/>
  <c r="J45" i="3" s="1"/>
  <c r="I159" i="3"/>
  <c r="J159" i="3" s="1"/>
  <c r="I135" i="3"/>
  <c r="J135" i="3" s="1"/>
  <c r="I117" i="3"/>
  <c r="J117" i="3" s="1"/>
  <c r="G64" i="3"/>
  <c r="H64" i="3" s="1"/>
  <c r="I64" i="3"/>
  <c r="J64" i="3" s="1"/>
  <c r="G58" i="3"/>
  <c r="H58" i="3" s="1"/>
  <c r="I58" i="3"/>
  <c r="J58" i="3" s="1"/>
  <c r="G46" i="3"/>
  <c r="H46" i="3" s="1"/>
  <c r="I46" i="3"/>
  <c r="J46" i="3" s="1"/>
  <c r="G28" i="3"/>
  <c r="H28" i="3" s="1"/>
  <c r="I28" i="3"/>
  <c r="J28" i="3" s="1"/>
  <c r="G10" i="3"/>
  <c r="H10" i="3" s="1"/>
  <c r="I10" i="3"/>
  <c r="J10" i="3" s="1"/>
  <c r="I201" i="3"/>
  <c r="J201" i="3" s="1"/>
  <c r="I183" i="3"/>
  <c r="J183" i="3" s="1"/>
  <c r="I165" i="3"/>
  <c r="J165" i="3" s="1"/>
  <c r="I147" i="3"/>
  <c r="J147" i="3" s="1"/>
  <c r="I129" i="3"/>
  <c r="J129" i="3" s="1"/>
  <c r="I111" i="3"/>
  <c r="J111" i="3" s="1"/>
  <c r="I93" i="3"/>
  <c r="J93" i="3" s="1"/>
  <c r="I75" i="3"/>
  <c r="J75" i="3" s="1"/>
  <c r="I57" i="3"/>
  <c r="J57" i="3" s="1"/>
  <c r="I39" i="3"/>
  <c r="J39" i="3" s="1"/>
  <c r="I27" i="3"/>
  <c r="J27" i="3" s="1"/>
  <c r="I21" i="3"/>
  <c r="J21" i="3" s="1"/>
  <c r="I15" i="3"/>
  <c r="J15" i="3" s="1"/>
  <c r="I9" i="3"/>
  <c r="J9" i="3" s="1"/>
  <c r="S149" i="3"/>
  <c r="T149" i="3" s="1"/>
  <c r="S143" i="3"/>
  <c r="T143" i="3" s="1"/>
  <c r="S136" i="3"/>
  <c r="T136" i="3" s="1"/>
  <c r="S130" i="3"/>
  <c r="T130" i="3" s="1"/>
  <c r="S124" i="3"/>
  <c r="T124" i="3" s="1"/>
  <c r="S118" i="3"/>
  <c r="T118" i="3" s="1"/>
  <c r="S112" i="3"/>
  <c r="T112" i="3" s="1"/>
  <c r="S106" i="3"/>
  <c r="T106" i="3" s="1"/>
  <c r="S100" i="3"/>
  <c r="T100" i="3" s="1"/>
  <c r="S94" i="3"/>
  <c r="T94" i="3" s="1"/>
  <c r="S88" i="3"/>
  <c r="T88" i="3" s="1"/>
  <c r="S82" i="3"/>
  <c r="T82" i="3" s="1"/>
  <c r="S76" i="3"/>
  <c r="T76" i="3" s="1"/>
  <c r="W31" i="3" s="1"/>
  <c r="S69" i="3"/>
  <c r="T69" i="3" s="1"/>
  <c r="S63" i="3"/>
  <c r="T63" i="3" s="1"/>
  <c r="S57" i="3"/>
  <c r="T57" i="3" s="1"/>
  <c r="S51" i="3"/>
  <c r="T51" i="3" s="1"/>
  <c r="S45" i="3"/>
  <c r="T45" i="3" s="1"/>
  <c r="S38" i="3"/>
  <c r="T38" i="3" s="1"/>
  <c r="S31" i="3"/>
  <c r="T31" i="3" s="1"/>
  <c r="S25" i="3"/>
  <c r="T25" i="3" s="1"/>
  <c r="S18" i="3"/>
  <c r="T18" i="3" s="1"/>
  <c r="S12" i="3"/>
  <c r="T12" i="3" s="1"/>
  <c r="S6" i="3"/>
  <c r="T6" i="3" s="1"/>
  <c r="Q131" i="3"/>
  <c r="R131" i="3" s="1"/>
  <c r="Q58" i="3"/>
  <c r="R58" i="3" s="1"/>
  <c r="I181" i="3"/>
  <c r="J181" i="3" s="1"/>
  <c r="I163" i="3"/>
  <c r="J163" i="3" s="1"/>
  <c r="I145" i="3"/>
  <c r="J145" i="3" s="1"/>
  <c r="I127" i="3"/>
  <c r="J127" i="3" s="1"/>
  <c r="I109" i="3"/>
  <c r="J109" i="3" s="1"/>
  <c r="I91" i="3"/>
  <c r="J91" i="3" s="1"/>
  <c r="I73" i="3"/>
  <c r="J73" i="3" s="1"/>
  <c r="I55" i="3"/>
  <c r="J55" i="3" s="1"/>
  <c r="G140" i="3"/>
  <c r="H140" i="3" s="1"/>
  <c r="G128" i="3"/>
  <c r="H128" i="3" s="1"/>
  <c r="G116" i="3"/>
  <c r="H116" i="3" s="1"/>
  <c r="G104" i="3"/>
  <c r="H104" i="3" s="1"/>
  <c r="G92" i="3"/>
  <c r="H92" i="3" s="1"/>
  <c r="G80" i="3"/>
  <c r="H80" i="3" s="1"/>
  <c r="G68" i="3"/>
  <c r="H68" i="3" s="1"/>
  <c r="G56" i="3"/>
  <c r="H56" i="3" s="1"/>
  <c r="G44" i="3"/>
  <c r="H44" i="3" s="1"/>
  <c r="G32" i="3"/>
  <c r="H32" i="3" s="1"/>
  <c r="G20" i="3"/>
  <c r="H20" i="3" s="1"/>
  <c r="G8" i="3"/>
  <c r="H8" i="3" s="1"/>
  <c r="I175" i="3"/>
  <c r="J175" i="3" s="1"/>
  <c r="I157" i="3"/>
  <c r="J157" i="3" s="1"/>
  <c r="I139" i="3"/>
  <c r="J139" i="3" s="1"/>
  <c r="I121" i="3"/>
  <c r="J121" i="3" s="1"/>
  <c r="I103" i="3"/>
  <c r="J103" i="3" s="1"/>
  <c r="I85" i="3"/>
  <c r="J85" i="3" s="1"/>
  <c r="I67" i="3"/>
  <c r="J67" i="3" s="1"/>
  <c r="I49" i="3"/>
  <c r="J49" i="3" s="1"/>
  <c r="I31" i="3"/>
  <c r="J31" i="3" s="1"/>
  <c r="S145" i="3"/>
  <c r="T145" i="3" s="1"/>
  <c r="I168" i="3"/>
  <c r="J168" i="3" s="1"/>
  <c r="I162" i="3"/>
  <c r="J162" i="3" s="1"/>
  <c r="I156" i="3"/>
  <c r="J156" i="3" s="1"/>
  <c r="I150" i="3"/>
  <c r="J150" i="3" s="1"/>
  <c r="I144" i="3"/>
  <c r="J144" i="3" s="1"/>
  <c r="I138" i="3"/>
  <c r="J138" i="3" s="1"/>
  <c r="I132" i="3"/>
  <c r="J132" i="3" s="1"/>
  <c r="I126" i="3"/>
  <c r="J126" i="3" s="1"/>
  <c r="I120" i="3"/>
  <c r="J120" i="3" s="1"/>
  <c r="I114" i="3"/>
  <c r="J114" i="3" s="1"/>
  <c r="I108" i="3"/>
  <c r="J108" i="3" s="1"/>
  <c r="I102" i="3"/>
  <c r="J102" i="3" s="1"/>
  <c r="I96" i="3"/>
  <c r="K96" i="3" s="1"/>
  <c r="I90" i="3"/>
  <c r="J90" i="3" s="1"/>
  <c r="I84" i="3"/>
  <c r="J84" i="3" s="1"/>
  <c r="I78" i="3"/>
  <c r="J78" i="3" s="1"/>
  <c r="I72" i="3"/>
  <c r="J72" i="3" s="1"/>
  <c r="I66" i="3"/>
  <c r="J66" i="3" s="1"/>
  <c r="I60" i="3"/>
  <c r="J60" i="3" s="1"/>
  <c r="I54" i="3"/>
  <c r="J54" i="3" s="1"/>
  <c r="I48" i="3"/>
  <c r="J48" i="3" s="1"/>
  <c r="I42" i="3"/>
  <c r="J42" i="3" s="1"/>
  <c r="I36" i="3"/>
  <c r="J36" i="3" s="1"/>
  <c r="I30" i="3"/>
  <c r="J30" i="3" s="1"/>
  <c r="I24" i="3"/>
  <c r="J24" i="3" s="1"/>
  <c r="I18" i="3"/>
  <c r="J18" i="3" s="1"/>
  <c r="I12" i="3"/>
  <c r="J12" i="3" s="1"/>
  <c r="I6" i="3"/>
  <c r="J6" i="3" s="1"/>
  <c r="S146" i="3"/>
  <c r="T146" i="3" s="1"/>
  <c r="S139" i="3"/>
  <c r="T139" i="3" s="1"/>
  <c r="S133" i="3"/>
  <c r="T133" i="3" s="1"/>
  <c r="S127" i="3"/>
  <c r="T127" i="3" s="1"/>
  <c r="S121" i="3"/>
  <c r="T121" i="3" s="1"/>
  <c r="S115" i="3"/>
  <c r="T115" i="3" s="1"/>
  <c r="S109" i="3"/>
  <c r="T109" i="3" s="1"/>
  <c r="S103" i="3"/>
  <c r="T103" i="3" s="1"/>
  <c r="S97" i="3"/>
  <c r="T97" i="3" s="1"/>
  <c r="S91" i="3"/>
  <c r="T91" i="3" s="1"/>
  <c r="S85" i="3"/>
  <c r="T85" i="3" s="1"/>
  <c r="S79" i="3"/>
  <c r="T79" i="3" s="1"/>
  <c r="S72" i="3"/>
  <c r="T72" i="3" s="1"/>
  <c r="S66" i="3"/>
  <c r="T66" i="3" s="1"/>
  <c r="S60" i="3"/>
  <c r="T60" i="3" s="1"/>
  <c r="S54" i="3"/>
  <c r="T54" i="3" s="1"/>
  <c r="S48" i="3"/>
  <c r="T48" i="3" s="1"/>
  <c r="S41" i="3"/>
  <c r="T41" i="3" s="1"/>
  <c r="S34" i="3"/>
  <c r="T34" i="3" s="1"/>
  <c r="S28" i="3"/>
  <c r="T28" i="3" s="1"/>
  <c r="S22" i="3"/>
  <c r="T22" i="3" s="1"/>
  <c r="S15" i="3"/>
  <c r="T15" i="3" s="1"/>
  <c r="S9" i="3"/>
  <c r="T9" i="3" s="1"/>
  <c r="K84" i="3" l="1"/>
  <c r="J70" i="3"/>
  <c r="J100" i="3"/>
  <c r="K100" i="3"/>
  <c r="J96" i="3"/>
</calcChain>
</file>

<file path=xl/sharedStrings.xml><?xml version="1.0" encoding="utf-8"?>
<sst xmlns="http://schemas.openxmlformats.org/spreadsheetml/2006/main" count="2229" uniqueCount="758">
  <si>
    <t>연결계정</t>
  </si>
  <si>
    <t>연결계정명</t>
  </si>
  <si>
    <t>전년동기(월)</t>
  </si>
  <si>
    <t>전년동기(누적)</t>
  </si>
  <si>
    <t>전년말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</si>
  <si>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</si>
  <si>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</si>
  <si>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</si>
  <si>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</si>
  <si>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</si>
  <si>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</si>
  <si>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</si>
  <si>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</si>
  <si>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</si>
  <si>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</si>
  <si>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</si>
  <si>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</si>
  <si>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회계연월당기</t>
  </si>
  <si>
    <t>증감(회계연월당기-전년말)</t>
  </si>
  <si>
    <t>실계정정구분</t>
  </si>
  <si>
    <t>FP01</t>
  </si>
  <si>
    <t>자산</t>
  </si>
  <si>
    <t>FP01-01</t>
  </si>
  <si>
    <t>유동자산</t>
  </si>
  <si>
    <t>FP01-01-01</t>
  </si>
  <si>
    <t>당좌자산</t>
  </si>
  <si>
    <t>FP01-01-01-0010</t>
  </si>
  <si>
    <t>현금및현금성자산</t>
  </si>
  <si>
    <t>FP01-01-01-0020</t>
  </si>
  <si>
    <t>국고보조금(현금)</t>
  </si>
  <si>
    <t>FP01-01-01-0030</t>
  </si>
  <si>
    <t>단기금융상품</t>
  </si>
  <si>
    <t>FP01-01-01-0040</t>
  </si>
  <si>
    <t>단기매매증권</t>
  </si>
  <si>
    <t>FP01-01-01-0050</t>
  </si>
  <si>
    <t>만기보유증권</t>
  </si>
  <si>
    <t>FP01-01-01-0060</t>
  </si>
  <si>
    <t>매도가능증권</t>
  </si>
  <si>
    <t>FP01-01-01-0070</t>
  </si>
  <si>
    <t>매출채권</t>
  </si>
  <si>
    <t>FP01-01-01-0080</t>
  </si>
  <si>
    <t>대손충당금(매출채권)</t>
  </si>
  <si>
    <t>FP01-01-01-0090</t>
  </si>
  <si>
    <t>현재가치할인차금(단기)</t>
  </si>
  <si>
    <t>FP01-01-01-0100</t>
  </si>
  <si>
    <t>미수금</t>
  </si>
  <si>
    <t>FP01-01-01-0110</t>
  </si>
  <si>
    <t>대손충당금(미수금)</t>
  </si>
  <si>
    <t>FP01-01-01-0120</t>
  </si>
  <si>
    <t>위법행위미수금</t>
  </si>
  <si>
    <t>FP01-01-01-0130</t>
  </si>
  <si>
    <t>대손충당금(위법행위미수금)</t>
  </si>
  <si>
    <t>FP01-01-01-0140</t>
  </si>
  <si>
    <t>단기대여금</t>
  </si>
  <si>
    <t>FP01-01-01-0150</t>
  </si>
  <si>
    <t>대손충당금(단기대여금)</t>
  </si>
  <si>
    <t>FP01-01-01-0160</t>
  </si>
  <si>
    <t>미수수익</t>
  </si>
  <si>
    <t>FP01-01-01-0170</t>
  </si>
  <si>
    <t>선급금</t>
  </si>
  <si>
    <t>FP01-01-01-0180</t>
  </si>
  <si>
    <t>대손충당금(선급금)</t>
  </si>
  <si>
    <t>FP01-01-01-0190</t>
  </si>
  <si>
    <t>선급비용</t>
  </si>
  <si>
    <t>FP01-01-01-0200</t>
  </si>
  <si>
    <t>선급법인세</t>
  </si>
  <si>
    <t>FP01-01-01-0210</t>
  </si>
  <si>
    <t>선급부가세</t>
  </si>
  <si>
    <t>FP01-01-01-0220</t>
  </si>
  <si>
    <t>파생상품(단기)</t>
  </si>
  <si>
    <t>FP01-01-01-0230</t>
  </si>
  <si>
    <t>반품계약자산</t>
  </si>
  <si>
    <t>FP01-01-01-0240</t>
  </si>
  <si>
    <t>수익인식자산</t>
  </si>
  <si>
    <t>FP01-01-01-0250</t>
  </si>
  <si>
    <t>매각예정자산</t>
  </si>
  <si>
    <t>FP01-01-01-0260</t>
  </si>
  <si>
    <t>기타당좌자산</t>
  </si>
  <si>
    <t>FP01-01-02</t>
  </si>
  <si>
    <t>재고자산</t>
  </si>
  <si>
    <t>FP01-01-02-0010</t>
  </si>
  <si>
    <t>상품</t>
  </si>
  <si>
    <t>FP01-01-02-0010-01</t>
  </si>
  <si>
    <t>본사상품매입분</t>
  </si>
  <si>
    <t>FP01-01-02-0010-02</t>
  </si>
  <si>
    <t>본사제품매입분</t>
  </si>
  <si>
    <t>FP01-01-02-0010-03</t>
  </si>
  <si>
    <t>미국제품매입분</t>
  </si>
  <si>
    <t>FP01-01-02-0010-04</t>
  </si>
  <si>
    <t>현지매입분</t>
  </si>
  <si>
    <t>FP01-01-02-0010-05</t>
  </si>
  <si>
    <t>기타관계사매입분</t>
  </si>
  <si>
    <t>FP01-01-02-0020</t>
  </si>
  <si>
    <t>상품충당금</t>
  </si>
  <si>
    <t>FP01-01-02-0030</t>
  </si>
  <si>
    <t>제품</t>
  </si>
  <si>
    <t>FP01-01-02-0040</t>
  </si>
  <si>
    <t>제품충당금</t>
  </si>
  <si>
    <t>FP01-01-02-0050</t>
  </si>
  <si>
    <t>반제품</t>
  </si>
  <si>
    <t>FP01-01-02-0060</t>
  </si>
  <si>
    <t>반제품충당금</t>
  </si>
  <si>
    <t>FP01-01-02-0070</t>
  </si>
  <si>
    <t>원재료</t>
  </si>
  <si>
    <t>FP01-01-02-0080</t>
  </si>
  <si>
    <t>원재료충당금</t>
  </si>
  <si>
    <t>FP01-01-02-0090</t>
  </si>
  <si>
    <t>부재료</t>
  </si>
  <si>
    <t>FP01-01-02-0100</t>
  </si>
  <si>
    <t>부재료충당금</t>
  </si>
  <si>
    <t>FP01-01-02-0110</t>
  </si>
  <si>
    <t>저장품</t>
  </si>
  <si>
    <t>FP01-01-02-0111</t>
  </si>
  <si>
    <t>저장품충당금</t>
  </si>
  <si>
    <t>FP01-01-02-0120</t>
  </si>
  <si>
    <t>미착품</t>
  </si>
  <si>
    <t>FP01-01-02-0130</t>
  </si>
  <si>
    <t>경품</t>
  </si>
  <si>
    <t>FP01-02</t>
  </si>
  <si>
    <t>비유동자산</t>
  </si>
  <si>
    <t>FP01-02-01</t>
  </si>
  <si>
    <t>투자자산</t>
  </si>
  <si>
    <t>FP01-02-01-0010</t>
  </si>
  <si>
    <t>장기성금융상품</t>
  </si>
  <si>
    <t>FP01-02-01-0020</t>
  </si>
  <si>
    <t>FP01-02-01-0030</t>
  </si>
  <si>
    <t>FP01-02-01-0040</t>
  </si>
  <si>
    <t>지분법적용투자주식</t>
  </si>
  <si>
    <t>FP01-02-01-0050</t>
  </si>
  <si>
    <t>투자부동산</t>
  </si>
  <si>
    <t>FP01-02-01-0060</t>
  </si>
  <si>
    <t>감가상각충당금(투자부동산)</t>
  </si>
  <si>
    <t>FP01-02-01-0070</t>
  </si>
  <si>
    <t>장기대여금</t>
  </si>
  <si>
    <t>FP01-02-01-0080</t>
  </si>
  <si>
    <t>대손충당금(장기대여금)</t>
  </si>
  <si>
    <t>FP01-02-01-0090</t>
  </si>
  <si>
    <t>파생상품(장기)</t>
  </si>
  <si>
    <t>FP01-02-01-0100</t>
  </si>
  <si>
    <t>장기선급금</t>
  </si>
  <si>
    <t>FP01-02-01-0110</t>
  </si>
  <si>
    <t>장기선급비용</t>
  </si>
  <si>
    <t>FP01-02-01-0120</t>
  </si>
  <si>
    <t>순확정급여자산</t>
  </si>
  <si>
    <t>FP01-02-02</t>
  </si>
  <si>
    <t>유형자산</t>
  </si>
  <si>
    <t>FP01-02-02-0010</t>
  </si>
  <si>
    <t>토지</t>
  </si>
  <si>
    <t>FP01-02-02-0020</t>
  </si>
  <si>
    <t>건물</t>
  </si>
  <si>
    <t>FP01-02-02-0030</t>
  </si>
  <si>
    <t>감가상각충당금(건물)</t>
  </si>
  <si>
    <t>FP01-02-02-0040</t>
  </si>
  <si>
    <t>구축물</t>
  </si>
  <si>
    <t>FP01-02-02-0050</t>
  </si>
  <si>
    <t>감가상각충당금(구축물)</t>
  </si>
  <si>
    <t>FP01-02-02-0060</t>
  </si>
  <si>
    <t>손상차손누계액(구축물)</t>
  </si>
  <si>
    <t>FP01-02-02-0070</t>
  </si>
  <si>
    <t>기계장치</t>
  </si>
  <si>
    <t>FP01-02-02-0080</t>
  </si>
  <si>
    <t>감가상각충당금(기계장치)</t>
  </si>
  <si>
    <t>FP01-02-02-0090</t>
  </si>
  <si>
    <t>손상차손누계액(기계장치)</t>
  </si>
  <si>
    <t>FP01-02-02-0100</t>
  </si>
  <si>
    <t>국고보조금(기계장치)</t>
  </si>
  <si>
    <t>FP01-02-02-0110</t>
  </si>
  <si>
    <t>차량운반구</t>
  </si>
  <si>
    <t>FP01-02-02-0120</t>
  </si>
  <si>
    <t>감가상각충당금(차량운반구)</t>
  </si>
  <si>
    <t>FP01-02-02-0130</t>
  </si>
  <si>
    <t>공구와기구</t>
  </si>
  <si>
    <t>FP01-02-02-0140</t>
  </si>
  <si>
    <t>감가상각충당금(공구와기구)</t>
  </si>
  <si>
    <t>FP01-02-02-0150</t>
  </si>
  <si>
    <t>손상차손누계액(공구와기구)</t>
  </si>
  <si>
    <t>FP01-02-02-0160</t>
  </si>
  <si>
    <t>집기비품</t>
  </si>
  <si>
    <t>FP01-02-02-0170</t>
  </si>
  <si>
    <t>감가상각충당금(집기비품)</t>
  </si>
  <si>
    <t>FP01-02-02-0180</t>
  </si>
  <si>
    <t>손상차손누계액(집기비품)</t>
  </si>
  <si>
    <t>FP01-02-02-0190</t>
  </si>
  <si>
    <t>시설장치</t>
  </si>
  <si>
    <t>FP01-02-02-0200</t>
  </si>
  <si>
    <t>감가상각충당금(시설장치)</t>
  </si>
  <si>
    <t>FP01-02-02-0210</t>
  </si>
  <si>
    <t>손상차손누계액(시설장치)</t>
  </si>
  <si>
    <t>FP01-02-02-0220</t>
  </si>
  <si>
    <t>국고보조금(시설장치)</t>
  </si>
  <si>
    <t>FP01-02-02-0230</t>
  </si>
  <si>
    <t>금형</t>
  </si>
  <si>
    <t>FP01-02-02-0240</t>
  </si>
  <si>
    <t>감가상각충당금(금형)</t>
  </si>
  <si>
    <t>FP01-02-02-0250</t>
  </si>
  <si>
    <t>손상차손누계액(금형)</t>
  </si>
  <si>
    <t>FP01-02-02-0260</t>
  </si>
  <si>
    <t>렌탈자산</t>
  </si>
  <si>
    <t>FP01-02-02-0270</t>
  </si>
  <si>
    <t>감가상각충당금(렌탈자산)</t>
  </si>
  <si>
    <t>FP01-02-02-0280</t>
  </si>
  <si>
    <t>사용권자산</t>
  </si>
  <si>
    <t>FP01-02-02-0290</t>
  </si>
  <si>
    <t>감가상각충당금(사용권자산)</t>
  </si>
  <si>
    <t>FP01-02-02-0300</t>
  </si>
  <si>
    <t>건설중인자산</t>
  </si>
  <si>
    <t>FP01-02-02-0310</t>
  </si>
  <si>
    <t>국고보조금(건설중인자산)</t>
  </si>
  <si>
    <t>FP01-02-02-0320</t>
  </si>
  <si>
    <t>손상차손누계액(건설중인자산)</t>
  </si>
  <si>
    <t>FP01-02-03</t>
  </si>
  <si>
    <t>무형자산</t>
  </si>
  <si>
    <t>FP01-02-03-0010</t>
  </si>
  <si>
    <t>영업권</t>
  </si>
  <si>
    <t>FP01-02-03-0020</t>
  </si>
  <si>
    <t>산업재산권</t>
  </si>
  <si>
    <t>FP01-02-03-0030</t>
  </si>
  <si>
    <t>개발비</t>
  </si>
  <si>
    <t>FP01-02-03-0040</t>
  </si>
  <si>
    <t>국고보조금(개발비)</t>
  </si>
  <si>
    <t>FP01-02-03-0050</t>
  </si>
  <si>
    <t>기타의무형자산</t>
  </si>
  <si>
    <t>FP01-02-03-0060</t>
  </si>
  <si>
    <t>국고보조금(기타의무형자산)</t>
  </si>
  <si>
    <t>FP01-02-04</t>
  </si>
  <si>
    <t>기타비유동자산</t>
  </si>
  <si>
    <t>FP01-02-04-0010</t>
  </si>
  <si>
    <t>장기성매출채권</t>
  </si>
  <si>
    <t>FP01-02-04-0020</t>
  </si>
  <si>
    <t>대손충당금(장기성매출채권)</t>
  </si>
  <si>
    <t>FP01-02-04-0021</t>
  </si>
  <si>
    <t>현재가치할인차금(장기)</t>
  </si>
  <si>
    <t>FP01-02-04-0030</t>
  </si>
  <si>
    <t>보증금</t>
  </si>
  <si>
    <t>FP01-02-04-0040</t>
  </si>
  <si>
    <t>이연법인세자산</t>
  </si>
  <si>
    <t>FP02</t>
  </si>
  <si>
    <t>부채</t>
  </si>
  <si>
    <t>FP02-01</t>
  </si>
  <si>
    <t>유동부채</t>
  </si>
  <si>
    <t>FP02-01-01-0010</t>
  </si>
  <si>
    <t>매입채무</t>
  </si>
  <si>
    <t>FP02-01-01-0020</t>
  </si>
  <si>
    <t>단기차입금</t>
  </si>
  <si>
    <t>FP02-01-01-0030</t>
  </si>
  <si>
    <t>단기사채</t>
  </si>
  <si>
    <t>FP02-01-01-0040</t>
  </si>
  <si>
    <t>사채할인발행차금(단기사채)</t>
  </si>
  <si>
    <t>FP02-01-01-0050</t>
  </si>
  <si>
    <t>유동성장기사채</t>
  </si>
  <si>
    <t>FP02-01-01-0060</t>
  </si>
  <si>
    <t>상환할증금(유동성장기사채)</t>
  </si>
  <si>
    <t>FP02-01-01-0070</t>
  </si>
  <si>
    <t>사채할인발행차금(유동성장기사채)</t>
  </si>
  <si>
    <t>FP02-01-01-0080</t>
  </si>
  <si>
    <t>전환권조정(유동성장기사채)</t>
  </si>
  <si>
    <t>FP02-01-01-0090</t>
  </si>
  <si>
    <t>신주인수권조정(유동성장기사채)</t>
  </si>
  <si>
    <t>FP02-01-01-0100</t>
  </si>
  <si>
    <t>유동성장기부채</t>
  </si>
  <si>
    <t>FP02-01-01-0110</t>
  </si>
  <si>
    <t>미지급금</t>
  </si>
  <si>
    <t>FP02-01-01-0120</t>
  </si>
  <si>
    <t>선수금</t>
  </si>
  <si>
    <t>FP02-01-01-0130</t>
  </si>
  <si>
    <t>선수국고보조금</t>
  </si>
  <si>
    <t>FP02-01-01-0140</t>
  </si>
  <si>
    <t>예수금</t>
  </si>
  <si>
    <t>FP02-01-01-0150</t>
  </si>
  <si>
    <t>미지급비용</t>
  </si>
  <si>
    <t>FP02-01-01-0160</t>
  </si>
  <si>
    <t>선수수익</t>
  </si>
  <si>
    <t>FP02-01-01-0170</t>
  </si>
  <si>
    <t>미지급법인세</t>
  </si>
  <si>
    <t>FP02-01-01-0180</t>
  </si>
  <si>
    <t>부가세예수금</t>
  </si>
  <si>
    <t>FP02-01-01-0190</t>
  </si>
  <si>
    <t>미지급배당금</t>
  </si>
  <si>
    <t>FP02-01-01-0200</t>
  </si>
  <si>
    <t>파생상품부채(유동)</t>
  </si>
  <si>
    <t>FP02-01-01-0210</t>
  </si>
  <si>
    <t>금융보증부채</t>
  </si>
  <si>
    <t>FP02-01-01-0220</t>
  </si>
  <si>
    <t>상품권충당부채</t>
  </si>
  <si>
    <t>FP02-01-01-0230</t>
  </si>
  <si>
    <t>패키지충당부채</t>
  </si>
  <si>
    <t>FP02-01-01-0240</t>
  </si>
  <si>
    <t>이연매출</t>
  </si>
  <si>
    <t>FP02-01-01-0250</t>
  </si>
  <si>
    <t>온라인충당부채</t>
  </si>
  <si>
    <t>FP02-01-01-0260</t>
  </si>
  <si>
    <t>반품충당부채</t>
  </si>
  <si>
    <t>FP02-01-01-0270</t>
  </si>
  <si>
    <t>보증충당부채</t>
  </si>
  <si>
    <t>FP02-01-01-0280</t>
  </si>
  <si>
    <t>리스사용권부채(유동)</t>
  </si>
  <si>
    <t>FP02-01-01-0290</t>
  </si>
  <si>
    <t>가수금</t>
  </si>
  <si>
    <t>FP02-02</t>
  </si>
  <si>
    <t>비유동부채</t>
  </si>
  <si>
    <t>FP02-02-01-0010</t>
  </si>
  <si>
    <t>사채</t>
  </si>
  <si>
    <t>FP02-02-01-0020</t>
  </si>
  <si>
    <t>상환할증금(장기사채)</t>
  </si>
  <si>
    <t>FP02-02-01-0030</t>
  </si>
  <si>
    <t>사채할인발행차금(장기사채)</t>
  </si>
  <si>
    <t>FP02-02-01-0040</t>
  </si>
  <si>
    <t>전환권조정(장기사채)</t>
  </si>
  <si>
    <t>FP02-02-01-0050</t>
  </si>
  <si>
    <t>신주인수권조정(장기사채)</t>
  </si>
  <si>
    <t>FP02-02-01-0060</t>
  </si>
  <si>
    <t>장기차입금</t>
  </si>
  <si>
    <t>FP02-02-01-0070</t>
  </si>
  <si>
    <t>장기성매입채무</t>
  </si>
  <si>
    <t>FP02-02-01-0080</t>
  </si>
  <si>
    <t>장기미지급금</t>
  </si>
  <si>
    <t>FP02-02-01-0090</t>
  </si>
  <si>
    <t>장기미지급비용</t>
  </si>
  <si>
    <t>FP02-02-01-0100</t>
  </si>
  <si>
    <t>파생상품부채(비유동)</t>
  </si>
  <si>
    <t>FP02-02-01-0110</t>
  </si>
  <si>
    <t>확정급여부채</t>
  </si>
  <si>
    <t>FP02-02-01-0120</t>
  </si>
  <si>
    <t>임대보증금</t>
  </si>
  <si>
    <t>FP02-02-01-0130</t>
  </si>
  <si>
    <t>예수보증금</t>
  </si>
  <si>
    <t>FP02-02-01-0140</t>
  </si>
  <si>
    <t>리스사용권부채(비유동)</t>
  </si>
  <si>
    <t>FP02-02-01-0150</t>
  </si>
  <si>
    <t>이연법인세부채</t>
  </si>
  <si>
    <t>FP02-02-01-0160</t>
  </si>
  <si>
    <t>지분법충당금</t>
  </si>
  <si>
    <t>FP02-02-01-0170</t>
  </si>
  <si>
    <t>비지배지분부채</t>
  </si>
  <si>
    <t>FP03</t>
  </si>
  <si>
    <t>자본</t>
  </si>
  <si>
    <t>FP03-01</t>
  </si>
  <si>
    <t>납입자본</t>
  </si>
  <si>
    <t>FP03-01-01-0010</t>
  </si>
  <si>
    <t>보통주자본금</t>
  </si>
  <si>
    <t>FP03-01-01-0020</t>
  </si>
  <si>
    <t>우선주자본금</t>
  </si>
  <si>
    <t>FP03-02</t>
  </si>
  <si>
    <t>자본잉여금</t>
  </si>
  <si>
    <t>FP03-02-01-0010</t>
  </si>
  <si>
    <t>전환권대가</t>
  </si>
  <si>
    <t>FP03-02-01-0020</t>
  </si>
  <si>
    <t>자기주식처분이익</t>
  </si>
  <si>
    <t>FP03-02-01-0030</t>
  </si>
  <si>
    <t>주식발행초과금</t>
  </si>
  <si>
    <t>FP03-02-01-0040</t>
  </si>
  <si>
    <t>감자차익</t>
  </si>
  <si>
    <t>FP03-02-01-0050</t>
  </si>
  <si>
    <t>합병차익</t>
  </si>
  <si>
    <t>FP03-02-01-0060</t>
  </si>
  <si>
    <t>채무면제이익</t>
  </si>
  <si>
    <t>FP03-02-01-0070</t>
  </si>
  <si>
    <t>기타의 자본잉여금</t>
  </si>
  <si>
    <t>FP03-03</t>
  </si>
  <si>
    <t>자본조정</t>
  </si>
  <si>
    <t>FP03-03-01-0010</t>
  </si>
  <si>
    <t>자기주식</t>
  </si>
  <si>
    <t>FP03-03-01-0020</t>
  </si>
  <si>
    <t>주식할인발행차금</t>
  </si>
  <si>
    <t>FP03-03-01-0030</t>
  </si>
  <si>
    <t>미교부주식배당금</t>
  </si>
  <si>
    <t>FP03-03-01-0040</t>
  </si>
  <si>
    <t>감자차손</t>
  </si>
  <si>
    <t>FP03-03-01-0050</t>
  </si>
  <si>
    <t>자기주식처분손실</t>
  </si>
  <si>
    <t>FP03-03-01-0060</t>
  </si>
  <si>
    <t>지분법자본변동</t>
  </si>
  <si>
    <t>FP03-03-01-0070</t>
  </si>
  <si>
    <t>기타자본조정</t>
  </si>
  <si>
    <t>FP03-04</t>
  </si>
  <si>
    <t>기타포괄손익누계액</t>
  </si>
  <si>
    <t>FP03-04-01-0010</t>
  </si>
  <si>
    <t>매도가능증권평가차손익</t>
  </si>
  <si>
    <t>FP03-04-01-0020</t>
  </si>
  <si>
    <t>해외사업환산손익</t>
  </si>
  <si>
    <t>FP03-04-01-0030</t>
  </si>
  <si>
    <t>해외사업환산손익 (연결)</t>
  </si>
  <si>
    <t>FP03-04-01-0040</t>
  </si>
  <si>
    <t>현금흐름위험회피파생상품평가차손익</t>
  </si>
  <si>
    <t>FP03-04-01-0050</t>
  </si>
  <si>
    <t>기타포괄지분법자본변동</t>
  </si>
  <si>
    <t>FP03-05</t>
  </si>
  <si>
    <t>이익잉여금</t>
  </si>
  <si>
    <t>FP03-05-01-0010</t>
  </si>
  <si>
    <t>이익준비금</t>
  </si>
  <si>
    <t>FP03-05-01-0020</t>
  </si>
  <si>
    <t>기타법정적립금</t>
  </si>
  <si>
    <t>FP03-05-01-0030</t>
  </si>
  <si>
    <t>조세특례법(기술개발준비금)</t>
  </si>
  <si>
    <t>FP03-05-01-0040</t>
  </si>
  <si>
    <t>임의적립금</t>
  </si>
  <si>
    <t>FP03-05-01-0050</t>
  </si>
  <si>
    <t>확정급여제도의보험수리적손익</t>
  </si>
  <si>
    <t>FP03-05-01-0060</t>
  </si>
  <si>
    <t>미처분이익잉여금_전기이월잉여금</t>
  </si>
  <si>
    <t>FP03-05-01-0070</t>
  </si>
  <si>
    <t>미처분이익잉여금_당기순손익</t>
  </si>
  <si>
    <t>FP03-06</t>
  </si>
  <si>
    <t>비지배주주지분</t>
  </si>
  <si>
    <t>FP03-06-01-0010</t>
  </si>
  <si>
    <t>비지배주주지분_잉여금</t>
  </si>
  <si>
    <t>FP03-06-01-0020</t>
  </si>
  <si>
    <t>비지배주주지분_해외사업환산손익</t>
  </si>
  <si>
    <t>FP03-06-01-0030</t>
  </si>
  <si>
    <t>비지배주주지분_당기순이익</t>
  </si>
  <si>
    <t>FP03-06-01-0040</t>
  </si>
  <si>
    <t>비지배주주지분_기타포괄손익누계액</t>
  </si>
  <si>
    <t>FP03-06-01-0050</t>
  </si>
  <si>
    <t>비지배주주지분_보험수리적손익</t>
  </si>
  <si>
    <t>FP03-06-01-0060</t>
  </si>
  <si>
    <t>비지배주주지분_자본잉여금</t>
  </si>
  <si>
    <t>FP03-06-01-0070</t>
  </si>
  <si>
    <t>비지배주주지분_자본조정</t>
  </si>
  <si>
    <t>FP03-06-01-0090</t>
  </si>
  <si>
    <t>FP10</t>
  </si>
  <si>
    <t>부채와 자본총계</t>
  </si>
  <si>
    <t>증감(회계연월당기-전년동기누적)</t>
  </si>
  <si>
    <t>PL01</t>
  </si>
  <si>
    <t>매출액</t>
  </si>
  <si>
    <t>PL01-01</t>
  </si>
  <si>
    <t>상품매출액</t>
  </si>
  <si>
    <t>PL01-01-0010</t>
  </si>
  <si>
    <t>본사상품매출액</t>
  </si>
  <si>
    <t>PL01-01-0020</t>
  </si>
  <si>
    <t>본사제품매출액</t>
  </si>
  <si>
    <t>PL01-01-0030</t>
  </si>
  <si>
    <t>미국제품매출액</t>
  </si>
  <si>
    <t>PL01-01-0040</t>
  </si>
  <si>
    <t>현지매입상품매출액</t>
  </si>
  <si>
    <t>PL01-01-0050</t>
  </si>
  <si>
    <t>기타관계사제품매출액</t>
  </si>
  <si>
    <t>PL01-02</t>
  </si>
  <si>
    <t>제품매출액</t>
  </si>
  <si>
    <t>PL01-03</t>
  </si>
  <si>
    <t>반제품매출액</t>
  </si>
  <si>
    <t>PL01-04</t>
  </si>
  <si>
    <t>원재료매출액</t>
  </si>
  <si>
    <t>PL01-05</t>
  </si>
  <si>
    <t>IT매출액</t>
  </si>
  <si>
    <t>PL01-06</t>
  </si>
  <si>
    <t>AS 용역매출액</t>
  </si>
  <si>
    <t>PL01-07</t>
  </si>
  <si>
    <t>임상용역매출액</t>
  </si>
  <si>
    <t>PL01-08</t>
  </si>
  <si>
    <t>기타용역매출액</t>
  </si>
  <si>
    <t>PL01-09</t>
  </si>
  <si>
    <t>렌탈매출액</t>
  </si>
  <si>
    <t>PL01-99</t>
  </si>
  <si>
    <t>기타매출액</t>
  </si>
  <si>
    <t>PL02</t>
  </si>
  <si>
    <t>매출원가</t>
  </si>
  <si>
    <t>PL02-01</t>
  </si>
  <si>
    <t>상품매출원가</t>
  </si>
  <si>
    <t>PL02-01-0010</t>
  </si>
  <si>
    <t>본사상품매출원가</t>
  </si>
  <si>
    <t>PL02-01-0020</t>
  </si>
  <si>
    <t>본사제품매출원가</t>
  </si>
  <si>
    <t>PL02-01-0030</t>
  </si>
  <si>
    <t>미국제품매출원가</t>
  </si>
  <si>
    <t>PL02-01-0040</t>
  </si>
  <si>
    <t>현지매입상품매출원가</t>
  </si>
  <si>
    <t>PL02-01-0050</t>
  </si>
  <si>
    <t>기타국내관계사제품매출원가</t>
  </si>
  <si>
    <t>PL02-02</t>
  </si>
  <si>
    <t>제품매출원가</t>
  </si>
  <si>
    <t>PL02-03</t>
  </si>
  <si>
    <t>반제품매출원가</t>
  </si>
  <si>
    <t>PL02-04</t>
  </si>
  <si>
    <t>원재료매출원가</t>
  </si>
  <si>
    <t>PL02-05</t>
  </si>
  <si>
    <t>IT매출원가</t>
  </si>
  <si>
    <t>PL02-06</t>
  </si>
  <si>
    <t>AS용역매출원가</t>
  </si>
  <si>
    <t>PL02-07</t>
  </si>
  <si>
    <t>임상용역매출원가</t>
  </si>
  <si>
    <t>PL02-08</t>
  </si>
  <si>
    <t>기타용역매출원가</t>
  </si>
  <si>
    <t>PL02-09</t>
  </si>
  <si>
    <t>렌탈매출원가</t>
  </si>
  <si>
    <t>PL02-99</t>
  </si>
  <si>
    <t>기타매출원가</t>
  </si>
  <si>
    <t>PL03</t>
  </si>
  <si>
    <t>매출총이익</t>
  </si>
  <si>
    <t>PL04</t>
  </si>
  <si>
    <t>판매비와 관리비</t>
  </si>
  <si>
    <t>PL04-00-0010</t>
  </si>
  <si>
    <t>급여</t>
  </si>
  <si>
    <t>PL04-00-0020</t>
  </si>
  <si>
    <t>상여금</t>
  </si>
  <si>
    <t>PL04-00-0030</t>
  </si>
  <si>
    <t>퇴직급여</t>
  </si>
  <si>
    <t>PL04-00-0040</t>
  </si>
  <si>
    <t>잡급</t>
  </si>
  <si>
    <t>PL04-00-0050</t>
  </si>
  <si>
    <t>복리후생비</t>
  </si>
  <si>
    <t>PL04-00-0060</t>
  </si>
  <si>
    <t>수출경비</t>
  </si>
  <si>
    <t>PL04-00-0070</t>
  </si>
  <si>
    <t>여비교통비</t>
  </si>
  <si>
    <t>PL04-00-0080</t>
  </si>
  <si>
    <t>교육훈련비</t>
  </si>
  <si>
    <t>PL04-00-0090</t>
  </si>
  <si>
    <t>소모품비</t>
  </si>
  <si>
    <t>PL04-00-0100</t>
  </si>
  <si>
    <t>도서인쇄비</t>
  </si>
  <si>
    <t>PL04-00-0110</t>
  </si>
  <si>
    <t>운반비</t>
  </si>
  <si>
    <t>PL04-00-0120</t>
  </si>
  <si>
    <t>통신비</t>
  </si>
  <si>
    <t>PL04-00-0130</t>
  </si>
  <si>
    <t>수도광열비</t>
  </si>
  <si>
    <t>PL04-00-0140</t>
  </si>
  <si>
    <t>임차료</t>
  </si>
  <si>
    <t>PL04-00-0150</t>
  </si>
  <si>
    <t>보험료</t>
  </si>
  <si>
    <t>PL04-00-0160</t>
  </si>
  <si>
    <t>건물관리비</t>
  </si>
  <si>
    <t>PL04-00-0170</t>
  </si>
  <si>
    <t>차량유지비</t>
  </si>
  <si>
    <t>PL04-00-0180</t>
  </si>
  <si>
    <t>감가상각비</t>
  </si>
  <si>
    <t>PL04-00-0190</t>
  </si>
  <si>
    <t>리스자산상각비</t>
  </si>
  <si>
    <t>PL04-00-0200</t>
  </si>
  <si>
    <t>무형자산상각비</t>
  </si>
  <si>
    <t>PL04-00-0210</t>
  </si>
  <si>
    <t>광고선전비</t>
  </si>
  <si>
    <t>PL04-00-0220</t>
  </si>
  <si>
    <t>판매수수료</t>
  </si>
  <si>
    <t>PL04-00-0230</t>
  </si>
  <si>
    <t>세금과공과</t>
  </si>
  <si>
    <t>PL04-00-0240</t>
  </si>
  <si>
    <t>지급수수료</t>
  </si>
  <si>
    <t>PL04-00-0250</t>
  </si>
  <si>
    <t>판매촉진비</t>
  </si>
  <si>
    <t>PL04-00-0260</t>
  </si>
  <si>
    <t>경상연구개발비</t>
  </si>
  <si>
    <t>PL04-00-0270</t>
  </si>
  <si>
    <t>접대비</t>
  </si>
  <si>
    <t>PL04-00-0280</t>
  </si>
  <si>
    <t>견본비</t>
  </si>
  <si>
    <t>PL04-00-0290</t>
  </si>
  <si>
    <t>대손상각비</t>
  </si>
  <si>
    <t>PL04-00-0300</t>
  </si>
  <si>
    <t>해외시장개척비</t>
  </si>
  <si>
    <t>PL04-00-0310</t>
  </si>
  <si>
    <t>교육재료비</t>
  </si>
  <si>
    <t>PL04-00-0320</t>
  </si>
  <si>
    <t>잡비</t>
  </si>
  <si>
    <t>PL04-00-0330</t>
  </si>
  <si>
    <t>주식보상비용</t>
  </si>
  <si>
    <t>PL04-00-0340</t>
  </si>
  <si>
    <t>안전관리비</t>
  </si>
  <si>
    <t>PL05</t>
  </si>
  <si>
    <t>영업이익</t>
  </si>
  <si>
    <t>PL06</t>
  </si>
  <si>
    <t>영업외수익</t>
  </si>
  <si>
    <t>PL06-00-0010</t>
  </si>
  <si>
    <t>이자수익</t>
  </si>
  <si>
    <t>PL06-00-0020</t>
  </si>
  <si>
    <t>배당금수익</t>
  </si>
  <si>
    <t>PL06-00-0030</t>
  </si>
  <si>
    <t>임대료수익</t>
  </si>
  <si>
    <t>PL06-00-0040</t>
  </si>
  <si>
    <t>외환차익</t>
  </si>
  <si>
    <t>PL06-00-0050</t>
  </si>
  <si>
    <t>외화환산이익</t>
  </si>
  <si>
    <t>PL06-00-0060</t>
  </si>
  <si>
    <t>파생상품거래이익</t>
  </si>
  <si>
    <t>PL06-00-0070</t>
  </si>
  <si>
    <t>파생상품평가이익</t>
  </si>
  <si>
    <t>PL06-00-0080</t>
  </si>
  <si>
    <t>단기매매증권처분이익</t>
  </si>
  <si>
    <t>PL06-00-0090</t>
  </si>
  <si>
    <t>단기매매증권평가이익</t>
  </si>
  <si>
    <t>PL06-00-0100</t>
  </si>
  <si>
    <t>장기금융상품평가이익</t>
  </si>
  <si>
    <t>PL06-00-0110</t>
  </si>
  <si>
    <t>장기투자증권평가이익</t>
  </si>
  <si>
    <t>PL06-00-0120</t>
  </si>
  <si>
    <t>장기투자증권처분이익</t>
  </si>
  <si>
    <t>PL06-00-0130</t>
  </si>
  <si>
    <t>장기투자증권감액손실환입</t>
  </si>
  <si>
    <t>PL06-00-0140</t>
  </si>
  <si>
    <t>대손충당금환입</t>
  </si>
  <si>
    <t>PL06-00-0150</t>
  </si>
  <si>
    <t>지분법이익</t>
  </si>
  <si>
    <t>PL06-00-0160</t>
  </si>
  <si>
    <t>투자자산처분이익</t>
  </si>
  <si>
    <t>PL06-00-0170</t>
  </si>
  <si>
    <t>유형자산처분이익</t>
  </si>
  <si>
    <t>PL06-00-0180</t>
  </si>
  <si>
    <t>유형자산손상차손환입</t>
  </si>
  <si>
    <t>PL06-00-0190</t>
  </si>
  <si>
    <t>사용권자산처분이익</t>
  </si>
  <si>
    <t>PL06-00-0200</t>
  </si>
  <si>
    <t>무형자산처분이익</t>
  </si>
  <si>
    <t>PL06-00-0210</t>
  </si>
  <si>
    <t>무형자산손상차손환입</t>
  </si>
  <si>
    <t>PL06-00-0211</t>
  </si>
  <si>
    <t>매각예정자산처분이익</t>
  </si>
  <si>
    <t>PL06-00-0212</t>
  </si>
  <si>
    <t>매각예정자산평가이익</t>
  </si>
  <si>
    <t>PL06-00-0220</t>
  </si>
  <si>
    <t>상각채권추심이익</t>
  </si>
  <si>
    <t>PL06-00-0230</t>
  </si>
  <si>
    <t>사채상환이익</t>
  </si>
  <si>
    <t>PL06-00-0240</t>
  </si>
  <si>
    <t>법인세환급액</t>
  </si>
  <si>
    <t>PL06-00-0250</t>
  </si>
  <si>
    <t>사외적립자산운용수익</t>
  </si>
  <si>
    <t>PL06-00-0260</t>
  </si>
  <si>
    <t>패키지충당금환입</t>
  </si>
  <si>
    <t>PL06-00-0270</t>
  </si>
  <si>
    <t>금융보증부채환입</t>
  </si>
  <si>
    <t>PL06-00-0280</t>
  </si>
  <si>
    <t>잡이익</t>
  </si>
  <si>
    <t>PL06-00-0290</t>
  </si>
  <si>
    <t>자산수증이익</t>
  </si>
  <si>
    <t>PL06-00-0300</t>
  </si>
  <si>
    <t>PL06-00-0990</t>
  </si>
  <si>
    <t>염가매수차익</t>
  </si>
  <si>
    <t>PL07</t>
  </si>
  <si>
    <t>영업외비용</t>
  </si>
  <si>
    <t>PL07-00-0010</t>
  </si>
  <si>
    <t>이자비용</t>
  </si>
  <si>
    <t>PL07-00-0020</t>
  </si>
  <si>
    <t>기타의대손상각비</t>
  </si>
  <si>
    <t>PL07-00-0030</t>
  </si>
  <si>
    <t>외환차손</t>
  </si>
  <si>
    <t>PL07-00-0040</t>
  </si>
  <si>
    <t>외화환산손실</t>
  </si>
  <si>
    <t>PL07-00-0050</t>
  </si>
  <si>
    <t>단기매매증권처분손실</t>
  </si>
  <si>
    <t>PL07-00-0060</t>
  </si>
  <si>
    <t>단기매매증권평가손실</t>
  </si>
  <si>
    <t>PL07-00-0070</t>
  </si>
  <si>
    <t>장기투자증권평가손실</t>
  </si>
  <si>
    <t>PL07-00-0080</t>
  </si>
  <si>
    <t>장기투자증권처분손실</t>
  </si>
  <si>
    <t>PL07-00-0090</t>
  </si>
  <si>
    <t>장기투자증권감액손실</t>
  </si>
  <si>
    <t>PL07-00-0100</t>
  </si>
  <si>
    <t>장기금융상품평가손실</t>
  </si>
  <si>
    <t>PL07-00-0110</t>
  </si>
  <si>
    <t>파생상품평가손실</t>
  </si>
  <si>
    <t>PL07-00-0120</t>
  </si>
  <si>
    <t>파생상품거래손실</t>
  </si>
  <si>
    <t>PL07-00-0130</t>
  </si>
  <si>
    <t>재고자산평가(감모)손실</t>
  </si>
  <si>
    <t>PL07-00-0140</t>
  </si>
  <si>
    <t>기부금</t>
  </si>
  <si>
    <t>PL07-00-0150</t>
  </si>
  <si>
    <t>지분법손실</t>
  </si>
  <si>
    <t>PL07-00-0160</t>
  </si>
  <si>
    <t>투자자산처분손실</t>
  </si>
  <si>
    <t>PL07-00-0170</t>
  </si>
  <si>
    <t>유형자산처분손실</t>
  </si>
  <si>
    <t>PL07-00-0180</t>
  </si>
  <si>
    <t>유형자산감액손실</t>
  </si>
  <si>
    <t>PL07-00-0190</t>
  </si>
  <si>
    <t>사용권자산처분손실</t>
  </si>
  <si>
    <t>PL07-00-0200</t>
  </si>
  <si>
    <t>무형자산처분손실</t>
  </si>
  <si>
    <t>PL07-00-0210</t>
  </si>
  <si>
    <t>무형자산감액손실</t>
  </si>
  <si>
    <t>PL07-00-0211</t>
  </si>
  <si>
    <t>매각예정자산처분손실</t>
  </si>
  <si>
    <t>PL07-00-0212</t>
  </si>
  <si>
    <t>매각예정자산평가손실</t>
  </si>
  <si>
    <t>PL07-00-0220</t>
  </si>
  <si>
    <t>매출채권처분손실</t>
  </si>
  <si>
    <t>PL07-00-0230</t>
  </si>
  <si>
    <t>사외적립자산운용손실</t>
  </si>
  <si>
    <t>PL07-00-0240</t>
  </si>
  <si>
    <t>사채상환손실</t>
  </si>
  <si>
    <t>PL07-00-0250</t>
  </si>
  <si>
    <t>법인세추납액</t>
  </si>
  <si>
    <t>PL07-00-0260</t>
  </si>
  <si>
    <t>잡손실</t>
  </si>
  <si>
    <t>PL07-00-0270</t>
  </si>
  <si>
    <t>재해손실</t>
  </si>
  <si>
    <t>PL07-00-0280</t>
  </si>
  <si>
    <t>생산중단비용</t>
  </si>
  <si>
    <t>PL07-00-0290</t>
  </si>
  <si>
    <t>순화폐성자산에서발생하는손익</t>
  </si>
  <si>
    <t>PL08</t>
  </si>
  <si>
    <t>법인세차감전순이익</t>
  </si>
  <si>
    <t>PL09</t>
  </si>
  <si>
    <t>법인세비용</t>
  </si>
  <si>
    <t>PL09-00-0010</t>
  </si>
  <si>
    <t>PL10</t>
  </si>
  <si>
    <t>당기순이익</t>
  </si>
  <si>
    <t>PL10-01</t>
  </si>
  <si>
    <t>지배주주순이익</t>
  </si>
  <si>
    <t>PL10-02</t>
  </si>
  <si>
    <t>비지배주주순이익</t>
  </si>
  <si>
    <t>전월</t>
    <phoneticPr fontId="3" type="noConversion"/>
  </si>
  <si>
    <t>당월</t>
    <phoneticPr fontId="3" type="noConversion"/>
  </si>
  <si>
    <t>전전월</t>
    <phoneticPr fontId="3" type="noConversion"/>
  </si>
  <si>
    <t>전전월(A)</t>
    <phoneticPr fontId="3" type="noConversion"/>
  </si>
  <si>
    <t>전월(B)</t>
    <phoneticPr fontId="3" type="noConversion"/>
  </si>
  <si>
    <t xml:space="preserve">당월(C) </t>
    <phoneticPr fontId="3" type="noConversion"/>
  </si>
  <si>
    <t>증감(B-A)</t>
    <phoneticPr fontId="3" type="noConversion"/>
  </si>
  <si>
    <t>증감(C-B)</t>
    <phoneticPr fontId="3" type="noConversion"/>
  </si>
  <si>
    <t>%</t>
    <phoneticPr fontId="3" type="noConversion"/>
  </si>
  <si>
    <t>전전월 대비 전월</t>
    <phoneticPr fontId="3" type="noConversion"/>
  </si>
  <si>
    <t>전월 대비 당월</t>
    <phoneticPr fontId="3" type="noConversion"/>
  </si>
  <si>
    <t>원가율</t>
    <phoneticPr fontId="3" type="noConversion"/>
  </si>
  <si>
    <t>유동비율</t>
    <phoneticPr fontId="3" type="noConversion"/>
  </si>
  <si>
    <t>부채비율</t>
    <phoneticPr fontId="3" type="noConversion"/>
  </si>
  <si>
    <t>영업이익율</t>
    <phoneticPr fontId="3" type="noConversion"/>
  </si>
  <si>
    <t>판관비율</t>
    <phoneticPr fontId="3" type="noConversion"/>
  </si>
  <si>
    <t>전월대비 증감</t>
    <phoneticPr fontId="3" type="noConversion"/>
  </si>
  <si>
    <t>매출</t>
    <phoneticPr fontId="3" type="noConversion"/>
  </si>
  <si>
    <t>원가</t>
    <phoneticPr fontId="3" type="noConversion"/>
  </si>
  <si>
    <t>판관비</t>
    <phoneticPr fontId="3" type="noConversion"/>
  </si>
  <si>
    <t>영업이익</t>
    <phoneticPr fontId="3" type="noConversion"/>
  </si>
  <si>
    <t>PL04-00-0350</t>
  </si>
  <si>
    <t>A/S보증비용</t>
  </si>
  <si>
    <t>PL07-00-0300</t>
  </si>
  <si>
    <t>영업권손상차손</t>
  </si>
  <si>
    <t>검증</t>
    <phoneticPr fontId="3" type="noConversion"/>
  </si>
  <si>
    <t>전년(A)</t>
    <phoneticPr fontId="3" type="noConversion"/>
  </si>
  <si>
    <t>당해(B)</t>
    <phoneticPr fontId="3" type="noConversion"/>
  </si>
  <si>
    <t>전년 대비 당해</t>
    <phoneticPr fontId="3" type="noConversion"/>
  </si>
  <si>
    <t>전년</t>
    <phoneticPr fontId="3" type="noConversion"/>
  </si>
  <si>
    <t>당해</t>
    <phoneticPr fontId="3" type="noConversion"/>
  </si>
  <si>
    <t>전년대비 증감</t>
    <phoneticPr fontId="3" type="noConversion"/>
  </si>
  <si>
    <t>영업이익 금액</t>
    <phoneticPr fontId="3" type="noConversion"/>
  </si>
  <si>
    <t>영업이익금액</t>
    <phoneticPr fontId="3" type="noConversion"/>
  </si>
  <si>
    <t>잡이익 내역</t>
    <phoneticPr fontId="3" type="noConversion"/>
  </si>
  <si>
    <t>PL01-10</t>
  </si>
  <si>
    <t>임대매출액</t>
  </si>
  <si>
    <t>PL02-10</t>
  </si>
  <si>
    <t>임대매출원가</t>
  </si>
  <si>
    <t>PL04-00-0031</t>
  </si>
  <si>
    <t>퇴직위로금</t>
  </si>
  <si>
    <t>FP01-02-02-0151</t>
  </si>
  <si>
    <t>국고보조금(공구와기구)</t>
  </si>
  <si>
    <t>기타의 자본잉여금</t>
  </si>
  <si>
    <t>해외사업환산손익 (연결)</t>
  </si>
  <si>
    <t>부채와 자본총계</t>
  </si>
  <si>
    <t>AS 용역매출액</t>
  </si>
  <si>
    <t>판매비와 관리비</t>
  </si>
  <si>
    <t>PL</t>
    <phoneticPr fontId="3" type="noConversion"/>
  </si>
  <si>
    <t>BS</t>
    <phoneticPr fontId="3" type="noConversion"/>
  </si>
  <si>
    <t>차액</t>
    <phoneticPr fontId="3" type="noConversion"/>
  </si>
  <si>
    <t>처분이익</t>
    <phoneticPr fontId="3" type="noConversion"/>
  </si>
  <si>
    <t>처분손실</t>
    <phoneticPr fontId="3" type="noConversion"/>
  </si>
  <si>
    <t>유형감가상각비</t>
    <phoneticPr fontId="3" type="noConversion"/>
  </si>
  <si>
    <t>무형감가상각비</t>
    <phoneticPr fontId="3" type="noConversion"/>
  </si>
  <si>
    <t>리스감가상각비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</si>
</sst>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General&quot;월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b/>
      <sz val="8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8"/>
      <color rgb="FF333333"/>
      <name val="맑은 고딕"/>
      <family val="3"/>
      <charset val="129"/>
    </font>
    <font>
      <b/>
      <sz val="8"/>
      <color rgb="FF33333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F6CE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0" fontId="0" fillId="3" borderId="0" xfId="0" applyFill="1">
      <alignment vertical="center"/>
    </xf>
    <xf numFmtId="9" fontId="0" fillId="3" borderId="0" xfId="2" applyFont="1" applyFill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9" fontId="0" fillId="3" borderId="2" xfId="2" applyFont="1" applyFill="1" applyBorder="1">
      <alignment vertical="center"/>
    </xf>
    <xf numFmtId="49" fontId="5" fillId="3" borderId="0" xfId="0" applyNumberFormat="1" applyFont="1" applyFill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/>
    </xf>
    <xf numFmtId="176" fontId="0" fillId="3" borderId="3" xfId="1" applyNumberFormat="1" applyFont="1" applyFill="1" applyBorder="1">
      <alignment vertical="center"/>
    </xf>
    <xf numFmtId="43" fontId="0" fillId="3" borderId="3" xfId="0" applyNumberFormat="1" applyFill="1" applyBorder="1">
      <alignment vertical="center"/>
    </xf>
    <xf numFmtId="9" fontId="0" fillId="3" borderId="3" xfId="2" applyFont="1" applyFill="1" applyBorder="1">
      <alignment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176" fontId="0" fillId="3" borderId="4" xfId="1" applyNumberFormat="1" applyFont="1" applyFill="1" applyBorder="1">
      <alignment vertical="center"/>
    </xf>
    <xf numFmtId="43" fontId="0" fillId="3" borderId="4" xfId="0" applyNumberFormat="1" applyFill="1" applyBorder="1">
      <alignment vertical="center"/>
    </xf>
    <xf numFmtId="9" fontId="0" fillId="3" borderId="4" xfId="2" applyFont="1" applyFill="1" applyBorder="1">
      <alignment vertical="center"/>
    </xf>
    <xf numFmtId="49" fontId="5" fillId="3" borderId="4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3" borderId="5" xfId="2" applyFont="1" applyFill="1" applyBorder="1">
      <alignment vertical="center"/>
    </xf>
    <xf numFmtId="0" fontId="0" fillId="3" borderId="1" xfId="0" applyFill="1" applyBorder="1">
      <alignment vertical="center"/>
    </xf>
    <xf numFmtId="9" fontId="0" fillId="3" borderId="1" xfId="0" applyNumberFormat="1" applyFill="1" applyBorder="1">
      <alignment vertical="center"/>
    </xf>
    <xf numFmtId="43" fontId="0" fillId="3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41" fontId="0" fillId="3" borderId="5" xfId="1" applyFont="1" applyFill="1" applyBorder="1">
      <alignment vertical="center"/>
    </xf>
    <xf numFmtId="0" fontId="7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4" fontId="8" fillId="5" borderId="8" xfId="0" applyNumberFormat="1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center" vertical="center" wrapText="1"/>
    </xf>
    <xf numFmtId="4" fontId="7" fillId="6" borderId="8" xfId="0" applyNumberFormat="1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3" fontId="4" fillId="0" borderId="0" xfId="0" applyNumberFormat="1" applyFont="1" applyAlignment="1" applyProtection="1">
      <alignment horizontal="left" vertical="center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4AAA-D112-44A4-866F-85B4211F62CA}">
  <dimension ref="B1:X205"/>
  <sheetViews>
    <sheetView zoomScale="85" zoomScaleNormal="85" workbookViewId="0">
      <pane xSplit="2" ySplit="3" topLeftCell="C70" activePane="bottomRight" state="frozen"/>
      <selection pane="topRight" activeCell="C1" sqref="C1"/>
      <selection pane="bottomLeft" activeCell="A4" sqref="A4"/>
      <selection pane="bottomRight" activeCell="K84" sqref="K84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4" width="18" style="8" customWidth="1"/>
    <col min="5" max="7" width="18" style="9" customWidth="1"/>
    <col min="8" max="8" width="7.8984375" style="9" bestFit="1" customWidth="1"/>
    <col min="9" max="9" width="16.59765625" style="9" customWidth="1"/>
    <col min="10" max="10" width="8.8984375" style="10" bestFit="1" customWidth="1"/>
    <col min="11" max="11" width="15.3984375" style="9" bestFit="1" customWidth="1"/>
    <col min="12" max="12" width="14" style="6" hidden="1" customWidth="1"/>
    <col min="13" max="13" width="18.69921875" style="8" customWidth="1"/>
    <col min="14" max="14" width="18.5" style="8" customWidth="1"/>
    <col min="15" max="17" width="18.5" style="9" customWidth="1"/>
    <col min="18" max="18" width="13.5" style="9" customWidth="1"/>
    <col min="19" max="19" width="18.59765625" style="9" bestFit="1" customWidth="1"/>
    <col min="20" max="20" width="8.796875" style="9"/>
    <col min="21" max="21" width="13.5" style="9" bestFit="1" customWidth="1"/>
    <col min="22" max="22" width="11.8984375" style="9" bestFit="1" customWidth="1"/>
    <col min="23" max="16384" width="8.796875" style="9"/>
  </cols>
  <sheetData>
    <row r="1" spans="2:24" x14ac:dyDescent="0.4">
      <c r="C1" s="7">
        <v>3</v>
      </c>
      <c r="V1" s="45" t="s">
        <v>713</v>
      </c>
      <c r="W1" s="45"/>
      <c r="X1" s="45"/>
    </row>
    <row r="2" spans="2:24" x14ac:dyDescent="0.4">
      <c r="G2" s="45" t="s">
        <v>711</v>
      </c>
      <c r="H2" s="45"/>
      <c r="I2" s="45" t="s">
        <v>712</v>
      </c>
      <c r="J2" s="45"/>
      <c r="Q2" s="45" t="s">
        <v>711</v>
      </c>
      <c r="R2" s="45"/>
      <c r="S2" s="45" t="s">
        <v>712</v>
      </c>
      <c r="T2" s="45"/>
      <c r="V2" s="26" t="s">
        <v>704</v>
      </c>
      <c r="W2" s="26" t="s">
        <v>702</v>
      </c>
      <c r="X2" s="26" t="s">
        <v>703</v>
      </c>
    </row>
    <row r="3" spans="2:24" x14ac:dyDescent="0.4">
      <c r="B3" s="11" t="s">
        <v>0</v>
      </c>
      <c r="C3" s="12" t="s">
        <v>1</v>
      </c>
      <c r="D3" s="13" t="s">
        <v>705</v>
      </c>
      <c r="E3" s="13" t="s">
        <v>706</v>
      </c>
      <c r="F3" s="13" t="s">
        <v>707</v>
      </c>
      <c r="G3" s="13" t="s">
        <v>708</v>
      </c>
      <c r="H3" s="13" t="s">
        <v>710</v>
      </c>
      <c r="I3" s="13" t="s">
        <v>709</v>
      </c>
      <c r="J3" s="14" t="s">
        <v>710</v>
      </c>
      <c r="L3" s="11" t="s">
        <v>0</v>
      </c>
      <c r="M3" s="12" t="s">
        <v>1</v>
      </c>
      <c r="N3" s="13" t="s">
        <v>704</v>
      </c>
      <c r="O3" s="13" t="s">
        <v>702</v>
      </c>
      <c r="P3" s="13" t="s">
        <v>703</v>
      </c>
      <c r="Q3" s="13" t="s">
        <v>708</v>
      </c>
      <c r="R3" s="13" t="s">
        <v>710</v>
      </c>
      <c r="S3" s="13" t="s">
        <v>709</v>
      </c>
      <c r="T3" s="13" t="s">
        <v>710</v>
      </c>
      <c r="V3" s="27">
        <f>N21/N4</f>
        <v>0.75090077542446554</v>
      </c>
      <c r="W3" s="27">
        <f>O21/O4</f>
        <v>0.68399767129666422</v>
      </c>
      <c r="X3" s="27">
        <f>P21/P4</f>
        <v>0.77994160479687291</v>
      </c>
    </row>
    <row r="4" spans="2:24" x14ac:dyDescent="0.4">
      <c r="B4" s="15" t="s">
        <v>20</v>
      </c>
      <c r="C4" s="16" t="s">
        <v>21</v>
      </c>
      <c r="D4" s="17">
        <f>VLOOKUP(B4,BS!$A:$S,18,FALSE)-VLOOKUP(B4,BS!$A:$S,$C$1+5,FALSE)-VLOOKUP(B4,BS!$A:$S,$C$1+4,FALSE)</f>
        <v>2635767343.27</v>
      </c>
      <c r="E4" s="17">
        <f>VLOOKUP(B4,BS!$A:$S,18,FALSE)-VLOOKUP(B4,BS!$A:$S,$C$1+5,FALSE)</f>
        <v>2592651555.29</v>
      </c>
      <c r="F4" s="17">
        <f>VLOOKUP(B4,BS!$A:$S,18,FALSE)</f>
        <v>2494183256.1700001</v>
      </c>
      <c r="G4" s="18">
        <f>E4-D4</f>
        <v>-43115787.980000019</v>
      </c>
      <c r="H4" s="19">
        <f>IFERROR(G4/D4,0)</f>
        <v>-1.6357964252834804E-2</v>
      </c>
      <c r="I4" s="18">
        <f>F4-E4</f>
        <v>-98468299.119999886</v>
      </c>
      <c r="J4" s="19">
        <f>IFERROR(I4/E4,0)</f>
        <v>-3.7979765896071507E-2</v>
      </c>
      <c r="L4" s="15" t="s">
        <v>422</v>
      </c>
      <c r="M4" s="16" t="s">
        <v>423</v>
      </c>
      <c r="N4" s="17">
        <f>VLOOKUP(L4,PL!$A:$S,$C$1+3,FALSE)</f>
        <v>235461030.84</v>
      </c>
      <c r="O4" s="17">
        <f>VLOOKUP(L4,PL!$A:$S,$C$1+4,FALSE)</f>
        <v>145881905.52000001</v>
      </c>
      <c r="P4" s="17">
        <f>VLOOKUP(L4,PL!$A:$S,$C$1+5,FALSE)</f>
        <v>159769890.34</v>
      </c>
      <c r="Q4" s="18">
        <f>O4-N4</f>
        <v>-89579125.319999993</v>
      </c>
      <c r="R4" s="19">
        <f>IFERROR(Q4/N4,0)</f>
        <v>-0.38044140467927628</v>
      </c>
      <c r="S4" s="18">
        <f>P4-O4</f>
        <v>13887984.819999993</v>
      </c>
      <c r="T4" s="19">
        <f>IFERROR(S4/O4,0)</f>
        <v>9.5200187922524687E-2</v>
      </c>
    </row>
    <row r="5" spans="2:24" x14ac:dyDescent="0.4">
      <c r="B5" s="15" t="s">
        <v>22</v>
      </c>
      <c r="C5" s="16" t="s">
        <v>23</v>
      </c>
      <c r="D5" s="17">
        <f>VLOOKUP(B5,BS!$A:$S,18,FALSE)-VLOOKUP(B5,BS!$A:$S,$C$1+5,FALSE)-VLOOKUP(B5,BS!$A:$S,$C$1+4,FALSE)</f>
        <v>2412428412.9900002</v>
      </c>
      <c r="E5" s="17">
        <f>VLOOKUP(B5,BS!$A:$S,18,FALSE)-VLOOKUP(B5,BS!$A:$S,$C$1+5,FALSE)</f>
        <v>2373805179.8900003</v>
      </c>
      <c r="F5" s="17">
        <f>VLOOKUP(B5,BS!$A:$S,18,FALSE)</f>
        <v>2283050180.1300001</v>
      </c>
      <c r="G5" s="18">
        <f t="shared" ref="G5:G68" si="0">E5-D5</f>
        <v>-38623233.099999905</v>
      </c>
      <c r="H5" s="19">
        <f t="shared" ref="H5:H68" si="1">IFERROR(G5/D5,0)</f>
        <v>-1.6010105374330959E-2</v>
      </c>
      <c r="I5" s="18">
        <f t="shared" ref="I5:I68" si="2">F5-E5</f>
        <v>-90754999.760000229</v>
      </c>
      <c r="J5" s="19">
        <f t="shared" ref="J5:J68" si="3">IFERROR(I5/E5,0)</f>
        <v>-3.8231865246922125E-2</v>
      </c>
      <c r="L5" s="15" t="s">
        <v>424</v>
      </c>
      <c r="M5" s="16" t="s">
        <v>425</v>
      </c>
      <c r="N5" s="17">
        <f>VLOOKUP(L5,PL!$A:$S,$C$1+3,FALSE)</f>
        <v>235461025.84</v>
      </c>
      <c r="O5" s="17">
        <f>VLOOKUP(L5,PL!$A:$S,$C$1+4,FALSE)</f>
        <v>145881905.52000001</v>
      </c>
      <c r="P5" s="17">
        <f>VLOOKUP(L5,PL!$A:$S,$C$1+5,FALSE)</f>
        <v>157518166.18000001</v>
      </c>
      <c r="Q5" s="18">
        <f t="shared" ref="Q5:Q71" si="4">O5-N5</f>
        <v>-89579120.319999993</v>
      </c>
      <c r="R5" s="19">
        <f t="shared" ref="R5:R71" si="5">IFERROR(Q5/N5,0)</f>
        <v>-0.38044139152298867</v>
      </c>
      <c r="S5" s="18">
        <f t="shared" ref="S5:S71" si="6">P5-O5</f>
        <v>11636260.659999996</v>
      </c>
      <c r="T5" s="19">
        <f t="shared" ref="T5:T71" si="7">IFERROR(S5/O5,0)</f>
        <v>7.9764934647119048E-2</v>
      </c>
      <c r="V5" s="45" t="s">
        <v>714</v>
      </c>
      <c r="W5" s="45"/>
      <c r="X5" s="45"/>
    </row>
    <row r="6" spans="2:24" x14ac:dyDescent="0.4">
      <c r="B6" s="15" t="s">
        <v>24</v>
      </c>
      <c r="C6" s="16" t="s">
        <v>25</v>
      </c>
      <c r="D6" s="17">
        <f>VLOOKUP(B6,BS!$A:$S,18,FALSE)-VLOOKUP(B6,BS!$A:$S,$C$1+5,FALSE)-VLOOKUP(B6,BS!$A:$S,$C$1+4,FALSE)</f>
        <v>1418934059.6399999</v>
      </c>
      <c r="E6" s="17">
        <f>VLOOKUP(B6,BS!$A:$S,18,FALSE)-VLOOKUP(B6,BS!$A:$S,$C$1+5,FALSE)</f>
        <v>1280097423.5999999</v>
      </c>
      <c r="F6" s="17">
        <f>VLOOKUP(B6,BS!$A:$S,18,FALSE)</f>
        <v>1173792515.1199999</v>
      </c>
      <c r="G6" s="18">
        <f t="shared" si="0"/>
        <v>-138836636.03999996</v>
      </c>
      <c r="H6" s="19">
        <f t="shared" si="1"/>
        <v>-9.7845727993325096E-2</v>
      </c>
      <c r="I6" s="18">
        <f t="shared" si="2"/>
        <v>-106304908.48000002</v>
      </c>
      <c r="J6" s="19">
        <f t="shared" si="3"/>
        <v>-8.3044389059889076E-2</v>
      </c>
      <c r="L6" s="6" t="s">
        <v>426</v>
      </c>
      <c r="M6" s="20" t="s">
        <v>427</v>
      </c>
      <c r="N6" s="17">
        <f>VLOOKUP(L6,PL!$A:$S,$C$1+3,FALSE)</f>
        <v>11939353.470000001</v>
      </c>
      <c r="O6" s="17">
        <f>VLOOKUP(L6,PL!$A:$S,$C$1+4,FALSE)</f>
        <v>24790708.82</v>
      </c>
      <c r="P6" s="17">
        <f>VLOOKUP(L6,PL!$A:$S,$C$1+5,FALSE)</f>
        <v>8298747.6299999999</v>
      </c>
      <c r="Q6" s="18">
        <f t="shared" si="4"/>
        <v>12851355.35</v>
      </c>
      <c r="R6" s="19">
        <f t="shared" si="5"/>
        <v>1.0763862031802296</v>
      </c>
      <c r="S6" s="18">
        <f t="shared" si="6"/>
        <v>-16491961.190000001</v>
      </c>
      <c r="T6" s="19">
        <f t="shared" si="7"/>
        <v>-0.66524766636341792</v>
      </c>
      <c r="V6" s="26" t="s">
        <v>704</v>
      </c>
      <c r="W6" s="26" t="s">
        <v>702</v>
      </c>
      <c r="X6" s="26" t="s">
        <v>703</v>
      </c>
    </row>
    <row r="7" spans="2:24" x14ac:dyDescent="0.4">
      <c r="B7" s="6" t="s">
        <v>26</v>
      </c>
      <c r="C7" s="20" t="s">
        <v>27</v>
      </c>
      <c r="D7" s="17">
        <f>VLOOKUP(B7,BS!$A:$S,18,FALSE)-VLOOKUP(B7,BS!$A:$S,$C$1+5,FALSE)-VLOOKUP(B7,BS!$A:$S,$C$1+4,FALSE)</f>
        <v>595043776.61000001</v>
      </c>
      <c r="E7" s="17">
        <f>VLOOKUP(B7,BS!$A:$S,18,FALSE)-VLOOKUP(B7,BS!$A:$S,$C$1+5,FALSE)</f>
        <v>545739926.85000002</v>
      </c>
      <c r="F7" s="17">
        <f>VLOOKUP(B7,BS!$A:$S,18,FALSE)</f>
        <v>479155037.81999999</v>
      </c>
      <c r="G7" s="18">
        <f t="shared" si="0"/>
        <v>-49303849.75999999</v>
      </c>
      <c r="H7" s="19">
        <f t="shared" si="1"/>
        <v>-8.2857516871929951E-2</v>
      </c>
      <c r="I7" s="18">
        <f t="shared" si="2"/>
        <v>-66584889.030000031</v>
      </c>
      <c r="J7" s="19">
        <f t="shared" si="3"/>
        <v>-0.12200846182233116</v>
      </c>
      <c r="L7" s="6" t="s">
        <v>428</v>
      </c>
      <c r="M7" s="20" t="s">
        <v>429</v>
      </c>
      <c r="N7" s="17">
        <f>VLOOKUP(L7,PL!$A:$S,$C$1+3,FALSE)</f>
        <v>213922017.15000001</v>
      </c>
      <c r="O7" s="17">
        <f>VLOOKUP(L7,PL!$A:$S,$C$1+4,FALSE)</f>
        <v>113739528.95</v>
      </c>
      <c r="P7" s="17">
        <f>VLOOKUP(L7,PL!$A:$S,$C$1+5,FALSE)</f>
        <v>145207625.52000001</v>
      </c>
      <c r="Q7" s="18">
        <f t="shared" si="4"/>
        <v>-100182488.2</v>
      </c>
      <c r="R7" s="19">
        <f t="shared" si="5"/>
        <v>-0.46831312426225408</v>
      </c>
      <c r="S7" s="18">
        <f t="shared" si="6"/>
        <v>31468096.570000008</v>
      </c>
      <c r="T7" s="19">
        <f t="shared" si="7"/>
        <v>0.27666807538682009</v>
      </c>
      <c r="V7" s="27">
        <f>D5/D114</f>
        <v>0.65483874569672507</v>
      </c>
      <c r="W7" s="27">
        <f t="shared" ref="W7:X7" si="8">E5/E114</f>
        <v>0.63399248299466693</v>
      </c>
      <c r="X7" s="27">
        <f t="shared" si="8"/>
        <v>0.63036042027403294</v>
      </c>
    </row>
    <row r="8" spans="2:24" x14ac:dyDescent="0.4">
      <c r="B8" s="6" t="s">
        <v>28</v>
      </c>
      <c r="C8" s="20" t="s">
        <v>29</v>
      </c>
      <c r="D8" s="17">
        <f>VLOOKUP(B8,BS!$A:$S,18,FALSE)-VLOOKUP(B8,BS!$A:$S,$C$1+5,FALSE)-VLOOKUP(B8,BS!$A:$S,$C$1+4,FALSE)</f>
        <v>0</v>
      </c>
      <c r="E8" s="17">
        <f>VLOOKUP(B8,BS!$A:$S,18,FALSE)-VLOOKUP(B8,BS!$A:$S,$C$1+5,FALSE)</f>
        <v>0</v>
      </c>
      <c r="F8" s="17">
        <f>VLOOKUP(B8,BS!$A:$S,18,FALSE)</f>
        <v>0</v>
      </c>
      <c r="G8" s="18">
        <f t="shared" si="0"/>
        <v>0</v>
      </c>
      <c r="H8" s="19">
        <f t="shared" si="1"/>
        <v>0</v>
      </c>
      <c r="I8" s="18">
        <f t="shared" si="2"/>
        <v>0</v>
      </c>
      <c r="J8" s="19">
        <f t="shared" si="3"/>
        <v>0</v>
      </c>
      <c r="L8" s="6" t="s">
        <v>430</v>
      </c>
      <c r="M8" s="20" t="s">
        <v>431</v>
      </c>
      <c r="N8" s="17">
        <f>VLOOKUP(L8,PL!$A:$S,$C$1+3,FALSE)</f>
        <v>5607110.46</v>
      </c>
      <c r="O8" s="17">
        <f>VLOOKUP(L8,PL!$A:$S,$C$1+4,FALSE)</f>
        <v>5925504.04</v>
      </c>
      <c r="P8" s="17">
        <f>VLOOKUP(L8,PL!$A:$S,$C$1+5,FALSE)</f>
        <v>3059391.18</v>
      </c>
      <c r="Q8" s="18">
        <f t="shared" si="4"/>
        <v>318393.58000000007</v>
      </c>
      <c r="R8" s="19">
        <f t="shared" si="5"/>
        <v>5.6783896495593573E-2</v>
      </c>
      <c r="S8" s="18">
        <f t="shared" si="6"/>
        <v>-2866112.86</v>
      </c>
      <c r="T8" s="19">
        <f t="shared" si="7"/>
        <v>-0.48369098065790872</v>
      </c>
    </row>
    <row r="9" spans="2:24" x14ac:dyDescent="0.4">
      <c r="B9" s="6" t="s">
        <v>30</v>
      </c>
      <c r="C9" s="20" t="s">
        <v>31</v>
      </c>
      <c r="D9" s="17">
        <f>VLOOKUP(B9,BS!$A:$S,18,FALSE)-VLOOKUP(B9,BS!$A:$S,$C$1+5,FALSE)-VLOOKUP(B9,BS!$A:$S,$C$1+4,FALSE)</f>
        <v>0</v>
      </c>
      <c r="E9" s="17">
        <f>VLOOKUP(B9,BS!$A:$S,18,FALSE)-VLOOKUP(B9,BS!$A:$S,$C$1+5,FALSE)</f>
        <v>0</v>
      </c>
      <c r="F9" s="17">
        <f>VLOOKUP(B9,BS!$A:$S,18,FALSE)</f>
        <v>0</v>
      </c>
      <c r="G9" s="18">
        <f t="shared" si="0"/>
        <v>0</v>
      </c>
      <c r="H9" s="19">
        <f t="shared" si="1"/>
        <v>0</v>
      </c>
      <c r="I9" s="18">
        <f t="shared" si="2"/>
        <v>0</v>
      </c>
      <c r="J9" s="19">
        <f t="shared" si="3"/>
        <v>0</v>
      </c>
      <c r="L9" s="6" t="s">
        <v>432</v>
      </c>
      <c r="M9" s="20" t="s">
        <v>433</v>
      </c>
      <c r="N9" s="17">
        <f>VLOOKUP(L9,PL!$A:$S,$C$1+3,FALSE)</f>
        <v>3992544.76</v>
      </c>
      <c r="O9" s="17">
        <f>VLOOKUP(L9,PL!$A:$S,$C$1+4,FALSE)</f>
        <v>1426163.71</v>
      </c>
      <c r="P9" s="17">
        <f>VLOOKUP(L9,PL!$A:$S,$C$1+5,FALSE)</f>
        <v>952401.85</v>
      </c>
      <c r="Q9" s="18">
        <f t="shared" si="4"/>
        <v>-2566381.0499999998</v>
      </c>
      <c r="R9" s="19">
        <f t="shared" si="5"/>
        <v>-0.64279330709369431</v>
      </c>
      <c r="S9" s="18">
        <f t="shared" si="6"/>
        <v>-473761.86</v>
      </c>
      <c r="T9" s="19">
        <f t="shared" si="7"/>
        <v>-0.33219318138448495</v>
      </c>
      <c r="V9" s="45" t="s">
        <v>715</v>
      </c>
      <c r="W9" s="45"/>
      <c r="X9" s="45"/>
    </row>
    <row r="10" spans="2:24" x14ac:dyDescent="0.4">
      <c r="B10" s="6" t="s">
        <v>32</v>
      </c>
      <c r="C10" s="20" t="s">
        <v>33</v>
      </c>
      <c r="D10" s="17">
        <f>VLOOKUP(B10,BS!$A:$S,18,FALSE)-VLOOKUP(B10,BS!$A:$S,$C$1+5,FALSE)-VLOOKUP(B10,BS!$A:$S,$C$1+4,FALSE)</f>
        <v>0</v>
      </c>
      <c r="E10" s="17">
        <f>VLOOKUP(B10,BS!$A:$S,18,FALSE)-VLOOKUP(B10,BS!$A:$S,$C$1+5,FALSE)</f>
        <v>0</v>
      </c>
      <c r="F10" s="17">
        <f>VLOOKUP(B10,BS!$A:$S,18,FALSE)</f>
        <v>0</v>
      </c>
      <c r="G10" s="18">
        <f t="shared" si="0"/>
        <v>0</v>
      </c>
      <c r="H10" s="19">
        <f t="shared" si="1"/>
        <v>0</v>
      </c>
      <c r="I10" s="18">
        <f t="shared" si="2"/>
        <v>0</v>
      </c>
      <c r="J10" s="19">
        <f t="shared" si="3"/>
        <v>0</v>
      </c>
      <c r="L10" s="6" t="s">
        <v>434</v>
      </c>
      <c r="M10" s="20" t="s">
        <v>435</v>
      </c>
      <c r="N10" s="17">
        <f>VLOOKUP(L10,PL!$A:$S,$C$1+3,FALSE)</f>
        <v>0</v>
      </c>
      <c r="O10" s="17">
        <f>VLOOKUP(L10,PL!$A:$S,$C$1+4,FALSE)</f>
        <v>0</v>
      </c>
      <c r="P10" s="17">
        <f>VLOOKUP(L10,PL!$A:$S,$C$1+5,FALSE)</f>
        <v>0</v>
      </c>
      <c r="Q10" s="18">
        <f t="shared" si="4"/>
        <v>0</v>
      </c>
      <c r="R10" s="19">
        <f t="shared" si="5"/>
        <v>0</v>
      </c>
      <c r="S10" s="18">
        <f t="shared" si="6"/>
        <v>0</v>
      </c>
      <c r="T10" s="19">
        <f t="shared" si="7"/>
        <v>0</v>
      </c>
      <c r="V10" s="26" t="s">
        <v>704</v>
      </c>
      <c r="W10" s="26" t="s">
        <v>702</v>
      </c>
      <c r="X10" s="26" t="s">
        <v>703</v>
      </c>
    </row>
    <row r="11" spans="2:24" x14ac:dyDescent="0.4">
      <c r="B11" s="6" t="s">
        <v>34</v>
      </c>
      <c r="C11" s="20" t="s">
        <v>35</v>
      </c>
      <c r="D11" s="17">
        <f>VLOOKUP(B11,BS!$A:$S,18,FALSE)-VLOOKUP(B11,BS!$A:$S,$C$1+5,FALSE)-VLOOKUP(B11,BS!$A:$S,$C$1+4,FALSE)</f>
        <v>0</v>
      </c>
      <c r="E11" s="17">
        <f>VLOOKUP(B11,BS!$A:$S,18,FALSE)-VLOOKUP(B11,BS!$A:$S,$C$1+5,FALSE)</f>
        <v>0</v>
      </c>
      <c r="F11" s="17">
        <f>VLOOKUP(B11,BS!$A:$S,18,FALSE)</f>
        <v>0</v>
      </c>
      <c r="G11" s="18">
        <f t="shared" si="0"/>
        <v>0</v>
      </c>
      <c r="H11" s="19">
        <f t="shared" si="1"/>
        <v>0</v>
      </c>
      <c r="I11" s="18">
        <f t="shared" si="2"/>
        <v>0</v>
      </c>
      <c r="J11" s="19">
        <f t="shared" si="3"/>
        <v>0</v>
      </c>
      <c r="L11" s="6" t="s">
        <v>436</v>
      </c>
      <c r="M11" s="20" t="s">
        <v>437</v>
      </c>
      <c r="N11" s="17">
        <f>VLOOKUP(L11,PL!$A:$S,$C$1+3,FALSE)</f>
        <v>0</v>
      </c>
      <c r="O11" s="17">
        <f>VLOOKUP(L11,PL!$A:$S,$C$1+4,FALSE)</f>
        <v>0</v>
      </c>
      <c r="P11" s="17">
        <f>VLOOKUP(L11,PL!$A:$S,$C$1+5,FALSE)</f>
        <v>0</v>
      </c>
      <c r="Q11" s="18">
        <f t="shared" si="4"/>
        <v>0</v>
      </c>
      <c r="R11" s="19">
        <f t="shared" si="5"/>
        <v>0</v>
      </c>
      <c r="S11" s="18">
        <f t="shared" si="6"/>
        <v>0</v>
      </c>
      <c r="T11" s="19">
        <f t="shared" si="7"/>
        <v>0</v>
      </c>
      <c r="V11" s="27">
        <f>D113/D162</f>
        <v>-3.5144778949387971</v>
      </c>
      <c r="W11" s="27">
        <f t="shared" ref="W11:X11" si="9">E113/E162</f>
        <v>-3.2514156403133572</v>
      </c>
      <c r="X11" s="27">
        <f t="shared" si="9"/>
        <v>-3.2118732615899868</v>
      </c>
    </row>
    <row r="12" spans="2:24" x14ac:dyDescent="0.4">
      <c r="B12" s="6" t="s">
        <v>36</v>
      </c>
      <c r="C12" s="20" t="s">
        <v>37</v>
      </c>
      <c r="D12" s="17">
        <f>VLOOKUP(B12,BS!$A:$S,18,FALSE)-VLOOKUP(B12,BS!$A:$S,$C$1+5,FALSE)-VLOOKUP(B12,BS!$A:$S,$C$1+4,FALSE)</f>
        <v>0</v>
      </c>
      <c r="E12" s="17">
        <f>VLOOKUP(B12,BS!$A:$S,18,FALSE)-VLOOKUP(B12,BS!$A:$S,$C$1+5,FALSE)</f>
        <v>0</v>
      </c>
      <c r="F12" s="17">
        <f>VLOOKUP(B12,BS!$A:$S,18,FALSE)</f>
        <v>0</v>
      </c>
      <c r="G12" s="18">
        <f t="shared" si="0"/>
        <v>0</v>
      </c>
      <c r="H12" s="19">
        <f t="shared" si="1"/>
        <v>0</v>
      </c>
      <c r="I12" s="18">
        <f t="shared" si="2"/>
        <v>0</v>
      </c>
      <c r="J12" s="19">
        <f t="shared" si="3"/>
        <v>0</v>
      </c>
      <c r="L12" s="6" t="s">
        <v>438</v>
      </c>
      <c r="M12" s="20" t="s">
        <v>439</v>
      </c>
      <c r="N12" s="17">
        <f>VLOOKUP(L12,PL!$A:$S,$C$1+3,FALSE)</f>
        <v>0</v>
      </c>
      <c r="O12" s="17">
        <f>VLOOKUP(L12,PL!$A:$S,$C$1+4,FALSE)</f>
        <v>0</v>
      </c>
      <c r="P12" s="17">
        <f>VLOOKUP(L12,PL!$A:$S,$C$1+5,FALSE)</f>
        <v>0</v>
      </c>
      <c r="Q12" s="18">
        <f t="shared" si="4"/>
        <v>0</v>
      </c>
      <c r="R12" s="19">
        <f t="shared" si="5"/>
        <v>0</v>
      </c>
      <c r="S12" s="18">
        <f t="shared" si="6"/>
        <v>0</v>
      </c>
      <c r="T12" s="19">
        <f t="shared" si="7"/>
        <v>0</v>
      </c>
    </row>
    <row r="13" spans="2:24" x14ac:dyDescent="0.4">
      <c r="B13" s="6" t="s">
        <v>38</v>
      </c>
      <c r="C13" s="20" t="s">
        <v>39</v>
      </c>
      <c r="D13" s="17">
        <f>VLOOKUP(B13,BS!$A:$S,18,FALSE)-VLOOKUP(B13,BS!$A:$S,$C$1+5,FALSE)-VLOOKUP(B13,BS!$A:$S,$C$1+4,FALSE)</f>
        <v>661211354.43000007</v>
      </c>
      <c r="E13" s="17">
        <f>VLOOKUP(B13,BS!$A:$S,18,FALSE)-VLOOKUP(B13,BS!$A:$S,$C$1+5,FALSE)</f>
        <v>609253132.44000006</v>
      </c>
      <c r="F13" s="17">
        <f>VLOOKUP(B13,BS!$A:$S,18,FALSE)</f>
        <v>560255489.44000006</v>
      </c>
      <c r="G13" s="18">
        <f t="shared" si="0"/>
        <v>-51958221.99000001</v>
      </c>
      <c r="H13" s="19">
        <f t="shared" si="1"/>
        <v>-7.8580353531271116E-2</v>
      </c>
      <c r="I13" s="18">
        <f t="shared" si="2"/>
        <v>-48997643</v>
      </c>
      <c r="J13" s="19">
        <f t="shared" si="3"/>
        <v>-8.0422472025329053E-2</v>
      </c>
      <c r="L13" s="6" t="s">
        <v>440</v>
      </c>
      <c r="M13" s="20" t="s">
        <v>441</v>
      </c>
      <c r="N13" s="17">
        <f>VLOOKUP(L13,PL!$A:$S,$C$1+3,FALSE)</f>
        <v>0</v>
      </c>
      <c r="O13" s="17">
        <f>VLOOKUP(L13,PL!$A:$S,$C$1+4,FALSE)</f>
        <v>0</v>
      </c>
      <c r="P13" s="17">
        <f>VLOOKUP(L13,PL!$A:$S,$C$1+5,FALSE)</f>
        <v>0</v>
      </c>
      <c r="Q13" s="18">
        <f t="shared" si="4"/>
        <v>0</v>
      </c>
      <c r="R13" s="19">
        <f t="shared" si="5"/>
        <v>0</v>
      </c>
      <c r="S13" s="18">
        <f t="shared" si="6"/>
        <v>0</v>
      </c>
      <c r="T13" s="19">
        <f t="shared" si="7"/>
        <v>0</v>
      </c>
      <c r="V13" s="45" t="s">
        <v>716</v>
      </c>
      <c r="W13" s="45"/>
      <c r="X13" s="45"/>
    </row>
    <row r="14" spans="2:24" x14ac:dyDescent="0.4">
      <c r="B14" s="6" t="s">
        <v>40</v>
      </c>
      <c r="C14" s="20" t="s">
        <v>41</v>
      </c>
      <c r="D14" s="17">
        <f>VLOOKUP(B14,BS!$A:$S,18,FALSE)-VLOOKUP(B14,BS!$A:$S,$C$1+5,FALSE)-VLOOKUP(B14,BS!$A:$S,$C$1+4,FALSE)</f>
        <v>-218817974.52000001</v>
      </c>
      <c r="E14" s="17">
        <f>VLOOKUP(B14,BS!$A:$S,18,FALSE)-VLOOKUP(B14,BS!$A:$S,$C$1+5,FALSE)</f>
        <v>-281523645.05000001</v>
      </c>
      <c r="F14" s="17">
        <f>VLOOKUP(B14,BS!$A:$S,18,FALSE)</f>
        <v>-270197843.80000001</v>
      </c>
      <c r="G14" s="18">
        <f t="shared" si="0"/>
        <v>-62705670.530000001</v>
      </c>
      <c r="H14" s="19">
        <f t="shared" si="1"/>
        <v>0.28656544631468878</v>
      </c>
      <c r="I14" s="18">
        <f t="shared" si="2"/>
        <v>11325801.25</v>
      </c>
      <c r="J14" s="19">
        <f t="shared" si="3"/>
        <v>-4.023037300468485E-2</v>
      </c>
      <c r="L14" s="6" t="s">
        <v>442</v>
      </c>
      <c r="M14" s="20" t="s">
        <v>443</v>
      </c>
      <c r="N14" s="17">
        <f>VLOOKUP(L14,PL!$A:$S,$C$1+3,FALSE)</f>
        <v>0</v>
      </c>
      <c r="O14" s="17">
        <f>VLOOKUP(L14,PL!$A:$S,$C$1+4,FALSE)</f>
        <v>0</v>
      </c>
      <c r="P14" s="17">
        <f>VLOOKUP(L14,PL!$A:$S,$C$1+5,FALSE)</f>
        <v>0</v>
      </c>
      <c r="Q14" s="18">
        <f t="shared" si="4"/>
        <v>0</v>
      </c>
      <c r="R14" s="19">
        <f t="shared" si="5"/>
        <v>0</v>
      </c>
      <c r="S14" s="18">
        <f t="shared" si="6"/>
        <v>0</v>
      </c>
      <c r="T14" s="19">
        <f t="shared" si="7"/>
        <v>0</v>
      </c>
      <c r="V14" s="26" t="s">
        <v>704</v>
      </c>
      <c r="W14" s="26" t="s">
        <v>702</v>
      </c>
      <c r="X14" s="26" t="s">
        <v>703</v>
      </c>
    </row>
    <row r="15" spans="2:24" x14ac:dyDescent="0.4">
      <c r="B15" s="6" t="s">
        <v>42</v>
      </c>
      <c r="C15" s="20" t="s">
        <v>43</v>
      </c>
      <c r="D15" s="17">
        <f>VLOOKUP(B15,BS!$A:$S,18,FALSE)-VLOOKUP(B15,BS!$A:$S,$C$1+5,FALSE)-VLOOKUP(B15,BS!$A:$S,$C$1+4,FALSE)</f>
        <v>0</v>
      </c>
      <c r="E15" s="17">
        <f>VLOOKUP(B15,BS!$A:$S,18,FALSE)-VLOOKUP(B15,BS!$A:$S,$C$1+5,FALSE)</f>
        <v>0</v>
      </c>
      <c r="F15" s="17">
        <f>VLOOKUP(B15,BS!$A:$S,18,FALSE)</f>
        <v>0</v>
      </c>
      <c r="G15" s="18">
        <f t="shared" si="0"/>
        <v>0</v>
      </c>
      <c r="H15" s="19">
        <f t="shared" si="1"/>
        <v>0</v>
      </c>
      <c r="I15" s="18">
        <f t="shared" si="2"/>
        <v>0</v>
      </c>
      <c r="J15" s="19">
        <f t="shared" si="3"/>
        <v>0</v>
      </c>
      <c r="L15" s="6" t="s">
        <v>444</v>
      </c>
      <c r="M15" s="20" t="s">
        <v>445</v>
      </c>
      <c r="N15" s="17">
        <f>VLOOKUP(L15,PL!$A:$S,$C$1+3,FALSE)</f>
        <v>0</v>
      </c>
      <c r="O15" s="17">
        <f>VLOOKUP(L15,PL!$A:$S,$C$1+4,FALSE)</f>
        <v>0</v>
      </c>
      <c r="P15" s="17">
        <f>VLOOKUP(L15,PL!$A:$S,$C$1+5,FALSE)</f>
        <v>0</v>
      </c>
      <c r="Q15" s="18">
        <f t="shared" si="4"/>
        <v>0</v>
      </c>
      <c r="R15" s="19">
        <f t="shared" si="5"/>
        <v>0</v>
      </c>
      <c r="S15" s="18">
        <f t="shared" si="6"/>
        <v>0</v>
      </c>
      <c r="T15" s="19">
        <f t="shared" si="7"/>
        <v>0</v>
      </c>
      <c r="V15" s="27">
        <f>N76/N4</f>
        <v>-0.32893378417522268</v>
      </c>
      <c r="W15" s="27">
        <f>O76/O4</f>
        <v>-0.86417764732800562</v>
      </c>
      <c r="X15" s="27">
        <f>P76/P4</f>
        <v>-0.46956912275740126</v>
      </c>
    </row>
    <row r="16" spans="2:24" x14ac:dyDescent="0.4">
      <c r="B16" s="6" t="s">
        <v>44</v>
      </c>
      <c r="C16" s="20" t="s">
        <v>45</v>
      </c>
      <c r="D16" s="17">
        <f>VLOOKUP(B16,BS!$A:$S,18,FALSE)-VLOOKUP(B16,BS!$A:$S,$C$1+5,FALSE)-VLOOKUP(B16,BS!$A:$S,$C$1+4,FALSE)</f>
        <v>67107802.659999996</v>
      </c>
      <c r="E16" s="17">
        <f>VLOOKUP(B16,BS!$A:$S,18,FALSE)-VLOOKUP(B16,BS!$A:$S,$C$1+5,FALSE)</f>
        <v>67942510.659999996</v>
      </c>
      <c r="F16" s="17">
        <f>VLOOKUP(B16,BS!$A:$S,18,FALSE)</f>
        <v>71001367.310000002</v>
      </c>
      <c r="G16" s="18">
        <f t="shared" si="0"/>
        <v>834708</v>
      </c>
      <c r="H16" s="19">
        <f t="shared" si="1"/>
        <v>1.2438315172216668E-2</v>
      </c>
      <c r="I16" s="18">
        <f t="shared" si="2"/>
        <v>3058856.650000006</v>
      </c>
      <c r="J16" s="19">
        <f t="shared" si="3"/>
        <v>4.5021248409662554E-2</v>
      </c>
      <c r="L16" s="6" t="s">
        <v>446</v>
      </c>
      <c r="M16" s="20" t="s">
        <v>447</v>
      </c>
      <c r="N16" s="17">
        <f>VLOOKUP(L16,PL!$A:$S,$C$1+3,FALSE)</f>
        <v>5</v>
      </c>
      <c r="O16" s="17">
        <f>VLOOKUP(L16,PL!$A:$S,$C$1+4,FALSE)</f>
        <v>0</v>
      </c>
      <c r="P16" s="17">
        <f>VLOOKUP(L16,PL!$A:$S,$C$1+5,FALSE)</f>
        <v>2251724.16</v>
      </c>
      <c r="Q16" s="18">
        <f t="shared" si="4"/>
        <v>-5</v>
      </c>
      <c r="R16" s="19">
        <f t="shared" si="5"/>
        <v>-1</v>
      </c>
      <c r="S16" s="18">
        <f t="shared" si="6"/>
        <v>2251724.16</v>
      </c>
      <c r="T16" s="19">
        <f t="shared" si="7"/>
        <v>0</v>
      </c>
    </row>
    <row r="17" spans="2:24" x14ac:dyDescent="0.4">
      <c r="B17" s="6" t="s">
        <v>46</v>
      </c>
      <c r="C17" s="20" t="s">
        <v>47</v>
      </c>
      <c r="D17" s="17">
        <f>VLOOKUP(B17,BS!$A:$S,18,FALSE)-VLOOKUP(B17,BS!$A:$S,$C$1+5,FALSE)-VLOOKUP(B17,BS!$A:$S,$C$1+4,FALSE)</f>
        <v>0</v>
      </c>
      <c r="E17" s="17">
        <f>VLOOKUP(B17,BS!$A:$S,18,FALSE)-VLOOKUP(B17,BS!$A:$S,$C$1+5,FALSE)</f>
        <v>0</v>
      </c>
      <c r="F17" s="17">
        <f>VLOOKUP(B17,BS!$A:$S,18,FALSE)</f>
        <v>0</v>
      </c>
      <c r="G17" s="18">
        <f t="shared" si="0"/>
        <v>0</v>
      </c>
      <c r="H17" s="19">
        <f t="shared" si="1"/>
        <v>0</v>
      </c>
      <c r="I17" s="18">
        <f t="shared" si="2"/>
        <v>0</v>
      </c>
      <c r="J17" s="19">
        <f t="shared" si="3"/>
        <v>0</v>
      </c>
      <c r="L17" s="6" t="s">
        <v>448</v>
      </c>
      <c r="M17" s="20" t="s">
        <v>449</v>
      </c>
      <c r="N17" s="17">
        <f>VLOOKUP(L17,PL!$A:$S,$C$1+3,FALSE)</f>
        <v>0</v>
      </c>
      <c r="O17" s="17">
        <f>VLOOKUP(L17,PL!$A:$S,$C$1+4,FALSE)</f>
        <v>0</v>
      </c>
      <c r="P17" s="17">
        <f>VLOOKUP(L17,PL!$A:$S,$C$1+5,FALSE)</f>
        <v>0</v>
      </c>
      <c r="Q17" s="18">
        <f t="shared" si="4"/>
        <v>0</v>
      </c>
      <c r="R17" s="19">
        <f t="shared" si="5"/>
        <v>0</v>
      </c>
      <c r="S17" s="18">
        <f t="shared" si="6"/>
        <v>0</v>
      </c>
      <c r="T17" s="19">
        <f t="shared" si="7"/>
        <v>0</v>
      </c>
    </row>
    <row r="18" spans="2:24" x14ac:dyDescent="0.4">
      <c r="B18" s="6" t="s">
        <v>48</v>
      </c>
      <c r="C18" s="20" t="s">
        <v>49</v>
      </c>
      <c r="D18" s="17">
        <f>VLOOKUP(B18,BS!$A:$S,18,FALSE)-VLOOKUP(B18,BS!$A:$S,$C$1+5,FALSE)-VLOOKUP(B18,BS!$A:$S,$C$1+4,FALSE)</f>
        <v>0</v>
      </c>
      <c r="E18" s="17">
        <f>VLOOKUP(B18,BS!$A:$S,18,FALSE)-VLOOKUP(B18,BS!$A:$S,$C$1+5,FALSE)</f>
        <v>0</v>
      </c>
      <c r="F18" s="17">
        <f>VLOOKUP(B18,BS!$A:$S,18,FALSE)</f>
        <v>0</v>
      </c>
      <c r="G18" s="18">
        <f t="shared" si="0"/>
        <v>0</v>
      </c>
      <c r="H18" s="19">
        <f t="shared" si="1"/>
        <v>0</v>
      </c>
      <c r="I18" s="18">
        <f t="shared" si="2"/>
        <v>0</v>
      </c>
      <c r="J18" s="19">
        <f t="shared" si="3"/>
        <v>0</v>
      </c>
      <c r="L18" s="6" t="s">
        <v>450</v>
      </c>
      <c r="M18" s="20" t="s">
        <v>451</v>
      </c>
      <c r="N18" s="17">
        <f>VLOOKUP(L18,PL!$A:$S,$C$1+3,FALSE)</f>
        <v>0</v>
      </c>
      <c r="O18" s="17">
        <f>VLOOKUP(L18,PL!$A:$S,$C$1+4,FALSE)</f>
        <v>0</v>
      </c>
      <c r="P18" s="17">
        <f>VLOOKUP(L18,PL!$A:$S,$C$1+5,FALSE)</f>
        <v>0</v>
      </c>
      <c r="Q18" s="18">
        <f t="shared" si="4"/>
        <v>0</v>
      </c>
      <c r="R18" s="19">
        <f t="shared" si="5"/>
        <v>0</v>
      </c>
      <c r="S18" s="18">
        <f t="shared" si="6"/>
        <v>0</v>
      </c>
      <c r="T18" s="19">
        <f t="shared" si="7"/>
        <v>0</v>
      </c>
      <c r="V18" s="45" t="s">
        <v>735</v>
      </c>
      <c r="W18" s="45"/>
      <c r="X18" s="45"/>
    </row>
    <row r="19" spans="2:24" x14ac:dyDescent="0.4">
      <c r="B19" s="6" t="s">
        <v>50</v>
      </c>
      <c r="C19" s="20" t="s">
        <v>51</v>
      </c>
      <c r="D19" s="17">
        <f>VLOOKUP(B19,BS!$A:$S,18,FALSE)-VLOOKUP(B19,BS!$A:$S,$C$1+5,FALSE)-VLOOKUP(B19,BS!$A:$S,$C$1+4,FALSE)</f>
        <v>0</v>
      </c>
      <c r="E19" s="17">
        <f>VLOOKUP(B19,BS!$A:$S,18,FALSE)-VLOOKUP(B19,BS!$A:$S,$C$1+5,FALSE)</f>
        <v>0</v>
      </c>
      <c r="F19" s="17">
        <f>VLOOKUP(B19,BS!$A:$S,18,FALSE)</f>
        <v>0</v>
      </c>
      <c r="G19" s="18">
        <f t="shared" si="0"/>
        <v>0</v>
      </c>
      <c r="H19" s="19">
        <f t="shared" si="1"/>
        <v>0</v>
      </c>
      <c r="I19" s="18">
        <f t="shared" si="2"/>
        <v>0</v>
      </c>
      <c r="J19" s="19">
        <f t="shared" si="3"/>
        <v>0</v>
      </c>
      <c r="L19" s="6" t="s">
        <v>737</v>
      </c>
      <c r="M19" s="20" t="s">
        <v>738</v>
      </c>
      <c r="N19" s="17">
        <f>VLOOKUP(L19,PL!$A:$S,$C$1+3,FALSE)</f>
        <v>0</v>
      </c>
      <c r="O19" s="17">
        <f>VLOOKUP(L19,PL!$A:$S,$C$1+4,FALSE)</f>
        <v>0</v>
      </c>
      <c r="P19" s="17">
        <f>VLOOKUP(L19,PL!$A:$S,$C$1+5,FALSE)</f>
        <v>0</v>
      </c>
      <c r="Q19" s="18">
        <f t="shared" ref="Q19" si="10">O19-N19</f>
        <v>0</v>
      </c>
      <c r="R19" s="19">
        <f t="shared" ref="R19" si="11">IFERROR(Q19/N19,0)</f>
        <v>0</v>
      </c>
      <c r="S19" s="18">
        <f t="shared" ref="S19" si="12">P19-O19</f>
        <v>0</v>
      </c>
      <c r="T19" s="19">
        <f t="shared" ref="T19" si="13">IFERROR(S19/O19,0)</f>
        <v>0</v>
      </c>
      <c r="V19" s="26" t="s">
        <v>704</v>
      </c>
      <c r="W19" s="26" t="s">
        <v>702</v>
      </c>
      <c r="X19" s="26" t="s">
        <v>703</v>
      </c>
    </row>
    <row r="20" spans="2:24" x14ac:dyDescent="0.4">
      <c r="B20" s="6" t="s">
        <v>52</v>
      </c>
      <c r="C20" s="20" t="s">
        <v>53</v>
      </c>
      <c r="D20" s="17">
        <f>VLOOKUP(B20,BS!$A:$S,18,FALSE)-VLOOKUP(B20,BS!$A:$S,$C$1+5,FALSE)-VLOOKUP(B20,BS!$A:$S,$C$1+4,FALSE)</f>
        <v>0</v>
      </c>
      <c r="E20" s="17">
        <f>VLOOKUP(B20,BS!$A:$S,18,FALSE)-VLOOKUP(B20,BS!$A:$S,$C$1+5,FALSE)</f>
        <v>0</v>
      </c>
      <c r="F20" s="17">
        <f>VLOOKUP(B20,BS!$A:$S,18,FALSE)</f>
        <v>0</v>
      </c>
      <c r="G20" s="18">
        <f t="shared" si="0"/>
        <v>0</v>
      </c>
      <c r="H20" s="19">
        <f t="shared" si="1"/>
        <v>0</v>
      </c>
      <c r="I20" s="18">
        <f t="shared" si="2"/>
        <v>0</v>
      </c>
      <c r="J20" s="19">
        <f t="shared" si="3"/>
        <v>0</v>
      </c>
      <c r="L20" s="6" t="s">
        <v>452</v>
      </c>
      <c r="M20" s="20" t="s">
        <v>453</v>
      </c>
      <c r="N20" s="17">
        <f>VLOOKUP(L20,PL!$A:$S,$C$1+3,FALSE)</f>
        <v>0</v>
      </c>
      <c r="O20" s="17">
        <f>VLOOKUP(L20,PL!$A:$S,$C$1+4,FALSE)</f>
        <v>0</v>
      </c>
      <c r="P20" s="17">
        <f>VLOOKUP(L20,PL!$A:$S,$C$1+5,FALSE)</f>
        <v>0</v>
      </c>
      <c r="Q20" s="18">
        <f t="shared" si="4"/>
        <v>0</v>
      </c>
      <c r="R20" s="19">
        <f t="shared" si="5"/>
        <v>0</v>
      </c>
      <c r="S20" s="18">
        <f t="shared" si="6"/>
        <v>0</v>
      </c>
      <c r="T20" s="19">
        <f t="shared" si="7"/>
        <v>0</v>
      </c>
      <c r="V20" s="35">
        <f>N76</f>
        <v>-77451087.900000006</v>
      </c>
      <c r="W20" s="35">
        <f>O76</f>
        <v>-126067881.90000001</v>
      </c>
      <c r="X20" s="35">
        <f>P76</f>
        <v>-75023007.25</v>
      </c>
    </row>
    <row r="21" spans="2:24" x14ac:dyDescent="0.4">
      <c r="B21" s="6" t="s">
        <v>54</v>
      </c>
      <c r="C21" s="20" t="s">
        <v>55</v>
      </c>
      <c r="D21" s="17">
        <f>VLOOKUP(B21,BS!$A:$S,18,FALSE)-VLOOKUP(B21,BS!$A:$S,$C$1+5,FALSE)-VLOOKUP(B21,BS!$A:$S,$C$1+4,FALSE)</f>
        <v>0</v>
      </c>
      <c r="E21" s="17">
        <f>VLOOKUP(B21,BS!$A:$S,18,FALSE)-VLOOKUP(B21,BS!$A:$S,$C$1+5,FALSE)</f>
        <v>0</v>
      </c>
      <c r="F21" s="17">
        <f>VLOOKUP(B21,BS!$A:$S,18,FALSE)</f>
        <v>0</v>
      </c>
      <c r="G21" s="18">
        <f t="shared" si="0"/>
        <v>0</v>
      </c>
      <c r="H21" s="19">
        <f t="shared" si="1"/>
        <v>0</v>
      </c>
      <c r="I21" s="18">
        <f t="shared" si="2"/>
        <v>0</v>
      </c>
      <c r="J21" s="19">
        <f t="shared" si="3"/>
        <v>0</v>
      </c>
      <c r="L21" s="15" t="s">
        <v>454</v>
      </c>
      <c r="M21" s="16" t="s">
        <v>455</v>
      </c>
      <c r="N21" s="17">
        <f>VLOOKUP(L21,PL!$A:$S,$C$1+3,FALSE)</f>
        <v>176807870.63999999</v>
      </c>
      <c r="O21" s="17">
        <f>VLOOKUP(L21,PL!$A:$S,$C$1+4,FALSE)</f>
        <v>99782883.659999996</v>
      </c>
      <c r="P21" s="17">
        <f>VLOOKUP(L21,PL!$A:$S,$C$1+5,FALSE)</f>
        <v>124611184.67</v>
      </c>
      <c r="Q21" s="18">
        <f t="shared" si="4"/>
        <v>-77024986.979999989</v>
      </c>
      <c r="R21" s="19">
        <f t="shared" si="5"/>
        <v>-0.43564229749042804</v>
      </c>
      <c r="S21" s="18">
        <f t="shared" si="6"/>
        <v>24828301.010000005</v>
      </c>
      <c r="T21" s="19">
        <f t="shared" si="7"/>
        <v>0.24882324602483838</v>
      </c>
    </row>
    <row r="22" spans="2:24" x14ac:dyDescent="0.4">
      <c r="B22" s="6" t="s">
        <v>56</v>
      </c>
      <c r="C22" s="20" t="s">
        <v>57</v>
      </c>
      <c r="D22" s="17">
        <f>VLOOKUP(B22,BS!$A:$S,18,FALSE)-VLOOKUP(B22,BS!$A:$S,$C$1+5,FALSE)-VLOOKUP(B22,BS!$A:$S,$C$1+4,FALSE)</f>
        <v>0</v>
      </c>
      <c r="E22" s="17">
        <f>VLOOKUP(B22,BS!$A:$S,18,FALSE)-VLOOKUP(B22,BS!$A:$S,$C$1+5,FALSE)</f>
        <v>0</v>
      </c>
      <c r="F22" s="17">
        <f>VLOOKUP(B22,BS!$A:$S,18,FALSE)</f>
        <v>0</v>
      </c>
      <c r="G22" s="18">
        <f t="shared" si="0"/>
        <v>0</v>
      </c>
      <c r="H22" s="19">
        <f t="shared" si="1"/>
        <v>0</v>
      </c>
      <c r="I22" s="18">
        <f t="shared" si="2"/>
        <v>0</v>
      </c>
      <c r="J22" s="19">
        <f t="shared" si="3"/>
        <v>0</v>
      </c>
      <c r="L22" s="15" t="s">
        <v>456</v>
      </c>
      <c r="M22" s="16" t="s">
        <v>457</v>
      </c>
      <c r="N22" s="17">
        <f>VLOOKUP(L22,PL!$A:$S,$C$1+3,FALSE)</f>
        <v>176807870.63999999</v>
      </c>
      <c r="O22" s="17">
        <f>VLOOKUP(L22,PL!$A:$S,$C$1+4,FALSE)</f>
        <v>99782883.659999996</v>
      </c>
      <c r="P22" s="17">
        <f>VLOOKUP(L22,PL!$A:$S,$C$1+5,FALSE)</f>
        <v>124405925.75</v>
      </c>
      <c r="Q22" s="18">
        <f t="shared" si="4"/>
        <v>-77024986.979999989</v>
      </c>
      <c r="R22" s="19">
        <f t="shared" si="5"/>
        <v>-0.43564229749042804</v>
      </c>
      <c r="S22" s="18">
        <f t="shared" si="6"/>
        <v>24623042.090000004</v>
      </c>
      <c r="T22" s="19">
        <f t="shared" si="7"/>
        <v>0.24676619062143473</v>
      </c>
    </row>
    <row r="23" spans="2:24" x14ac:dyDescent="0.4">
      <c r="B23" s="6" t="s">
        <v>58</v>
      </c>
      <c r="C23" s="20" t="s">
        <v>59</v>
      </c>
      <c r="D23" s="17">
        <f>VLOOKUP(B23,BS!$A:$S,18,FALSE)-VLOOKUP(B23,BS!$A:$S,$C$1+5,FALSE)-VLOOKUP(B23,BS!$A:$S,$C$1+4,FALSE)</f>
        <v>271632432.31</v>
      </c>
      <c r="E23" s="17">
        <f>VLOOKUP(B23,BS!$A:$S,18,FALSE)-VLOOKUP(B23,BS!$A:$S,$C$1+5,FALSE)</f>
        <v>295808400.81999999</v>
      </c>
      <c r="F23" s="17">
        <f>VLOOKUP(B23,BS!$A:$S,18,FALSE)</f>
        <v>297143449.79000002</v>
      </c>
      <c r="G23" s="18">
        <f t="shared" si="0"/>
        <v>24175968.50999999</v>
      </c>
      <c r="H23" s="19">
        <f t="shared" si="1"/>
        <v>8.9002510872520604E-2</v>
      </c>
      <c r="I23" s="18">
        <f t="shared" si="2"/>
        <v>1335048.9700000286</v>
      </c>
      <c r="J23" s="19">
        <f t="shared" si="3"/>
        <v>4.5132219581972208E-3</v>
      </c>
      <c r="L23" s="6" t="s">
        <v>458</v>
      </c>
      <c r="M23" s="20" t="s">
        <v>459</v>
      </c>
      <c r="N23" s="17">
        <f>VLOOKUP(L23,PL!$A:$S,$C$1+3,FALSE)</f>
        <v>17183998.75</v>
      </c>
      <c r="O23" s="17">
        <f>VLOOKUP(L23,PL!$A:$S,$C$1+4,FALSE)</f>
        <v>18067409.300000001</v>
      </c>
      <c r="P23" s="17">
        <f>VLOOKUP(L23,PL!$A:$S,$C$1+5,FALSE)</f>
        <v>14803670.869999999</v>
      </c>
      <c r="Q23" s="18">
        <f t="shared" si="4"/>
        <v>883410.55000000075</v>
      </c>
      <c r="R23" s="19">
        <f t="shared" si="5"/>
        <v>5.1408904461192464E-2</v>
      </c>
      <c r="S23" s="18">
        <f t="shared" si="6"/>
        <v>-3263738.4300000016</v>
      </c>
      <c r="T23" s="19">
        <f t="shared" si="7"/>
        <v>-0.18064230326591435</v>
      </c>
      <c r="V23" s="45" t="s">
        <v>717</v>
      </c>
      <c r="W23" s="45"/>
      <c r="X23" s="45"/>
    </row>
    <row r="24" spans="2:24" x14ac:dyDescent="0.4">
      <c r="B24" s="6" t="s">
        <v>60</v>
      </c>
      <c r="C24" s="20" t="s">
        <v>61</v>
      </c>
      <c r="D24" s="17">
        <f>VLOOKUP(B24,BS!$A:$S,18,FALSE)-VLOOKUP(B24,BS!$A:$S,$C$1+5,FALSE)-VLOOKUP(B24,BS!$A:$S,$C$1+4,FALSE)</f>
        <v>0</v>
      </c>
      <c r="E24" s="17">
        <f>VLOOKUP(B24,BS!$A:$S,18,FALSE)-VLOOKUP(B24,BS!$A:$S,$C$1+5,FALSE)</f>
        <v>0</v>
      </c>
      <c r="F24" s="17">
        <f>VLOOKUP(B24,BS!$A:$S,18,FALSE)</f>
        <v>0</v>
      </c>
      <c r="G24" s="18">
        <f t="shared" si="0"/>
        <v>0</v>
      </c>
      <c r="H24" s="19">
        <f t="shared" si="1"/>
        <v>0</v>
      </c>
      <c r="I24" s="18">
        <f t="shared" si="2"/>
        <v>0</v>
      </c>
      <c r="J24" s="19">
        <f t="shared" si="3"/>
        <v>0</v>
      </c>
      <c r="L24" s="6" t="s">
        <v>460</v>
      </c>
      <c r="M24" s="20" t="s">
        <v>461</v>
      </c>
      <c r="N24" s="17">
        <f>VLOOKUP(L24,PL!$A:$S,$C$1+3,FALSE)</f>
        <v>151535847.69999999</v>
      </c>
      <c r="O24" s="17">
        <f>VLOOKUP(L24,PL!$A:$S,$C$1+4,FALSE)</f>
        <v>72856547.060000002</v>
      </c>
      <c r="P24" s="17">
        <f>VLOOKUP(L24,PL!$A:$S,$C$1+5,FALSE)</f>
        <v>102005552.08</v>
      </c>
      <c r="Q24" s="18">
        <f t="shared" si="4"/>
        <v>-78679300.639999986</v>
      </c>
      <c r="R24" s="19">
        <f t="shared" si="5"/>
        <v>-0.51921246249114417</v>
      </c>
      <c r="S24" s="18">
        <f t="shared" si="6"/>
        <v>29149005.019999996</v>
      </c>
      <c r="T24" s="19">
        <f t="shared" si="7"/>
        <v>0.40008765438739136</v>
      </c>
      <c r="V24" s="26" t="s">
        <v>704</v>
      </c>
      <c r="W24" s="26" t="s">
        <v>702</v>
      </c>
      <c r="X24" s="26" t="s">
        <v>703</v>
      </c>
    </row>
    <row r="25" spans="2:24" x14ac:dyDescent="0.4">
      <c r="B25" s="6" t="s">
        <v>62</v>
      </c>
      <c r="C25" s="20" t="s">
        <v>63</v>
      </c>
      <c r="D25" s="17">
        <f>VLOOKUP(B25,BS!$A:$S,18,FALSE)-VLOOKUP(B25,BS!$A:$S,$C$1+5,FALSE)-VLOOKUP(B25,BS!$A:$S,$C$1+4,FALSE)</f>
        <v>4918061.0999999996</v>
      </c>
      <c r="E25" s="17">
        <f>VLOOKUP(B25,BS!$A:$S,18,FALSE)-VLOOKUP(B25,BS!$A:$S,$C$1+5,FALSE)</f>
        <v>2731274.96</v>
      </c>
      <c r="F25" s="17">
        <f>VLOOKUP(B25,BS!$A:$S,18,FALSE)</f>
        <v>2417848.4700000002</v>
      </c>
      <c r="G25" s="18">
        <f t="shared" si="0"/>
        <v>-2186786.1399999997</v>
      </c>
      <c r="H25" s="19">
        <f t="shared" si="1"/>
        <v>-0.44464395531808254</v>
      </c>
      <c r="I25" s="18">
        <f t="shared" si="2"/>
        <v>-313426.48999999976</v>
      </c>
      <c r="J25" s="19">
        <f t="shared" si="3"/>
        <v>-0.1147546455740215</v>
      </c>
      <c r="L25" s="6" t="s">
        <v>462</v>
      </c>
      <c r="M25" s="20" t="s">
        <v>463</v>
      </c>
      <c r="N25" s="17">
        <f>VLOOKUP(L25,PL!$A:$S,$C$1+3,FALSE)</f>
        <v>4110316.69</v>
      </c>
      <c r="O25" s="17">
        <f>VLOOKUP(L25,PL!$A:$S,$C$1+4,FALSE)</f>
        <v>7812391.8300000001</v>
      </c>
      <c r="P25" s="17">
        <f>VLOOKUP(L25,PL!$A:$S,$C$1+5,FALSE)</f>
        <v>5818403.5999999996</v>
      </c>
      <c r="Q25" s="18">
        <f t="shared" si="4"/>
        <v>3702075.14</v>
      </c>
      <c r="R25" s="19">
        <f t="shared" si="5"/>
        <v>0.90067880876594941</v>
      </c>
      <c r="S25" s="18">
        <f t="shared" si="6"/>
        <v>-1993988.2300000004</v>
      </c>
      <c r="T25" s="19">
        <f t="shared" si="7"/>
        <v>-0.25523402734908657</v>
      </c>
      <c r="V25" s="27">
        <f>N39/N4</f>
        <v>0.57803300875075703</v>
      </c>
      <c r="W25" s="27">
        <f>O39/O4</f>
        <v>1.1801799760313412</v>
      </c>
      <c r="X25" s="27">
        <f>P39/P4</f>
        <v>0.68962751796052835</v>
      </c>
    </row>
    <row r="26" spans="2:24" x14ac:dyDescent="0.4">
      <c r="B26" s="6" t="s">
        <v>64</v>
      </c>
      <c r="C26" s="20" t="s">
        <v>65</v>
      </c>
      <c r="D26" s="17">
        <f>VLOOKUP(B26,BS!$A:$S,18,FALSE)-VLOOKUP(B26,BS!$A:$S,$C$1+5,FALSE)-VLOOKUP(B26,BS!$A:$S,$C$1+4,FALSE)</f>
        <v>9686552.9499999993</v>
      </c>
      <c r="E26" s="17">
        <f>VLOOKUP(B26,BS!$A:$S,18,FALSE)-VLOOKUP(B26,BS!$A:$S,$C$1+5,FALSE)</f>
        <v>9686552.9499999993</v>
      </c>
      <c r="F26" s="17">
        <f>VLOOKUP(B26,BS!$A:$S,18,FALSE)</f>
        <v>9686552.9499999993</v>
      </c>
      <c r="G26" s="18">
        <f t="shared" si="0"/>
        <v>0</v>
      </c>
      <c r="H26" s="19">
        <f t="shared" si="1"/>
        <v>0</v>
      </c>
      <c r="I26" s="18">
        <f t="shared" si="2"/>
        <v>0</v>
      </c>
      <c r="J26" s="19">
        <f t="shared" si="3"/>
        <v>0</v>
      </c>
      <c r="L26" s="6" t="s">
        <v>464</v>
      </c>
      <c r="M26" s="20" t="s">
        <v>465</v>
      </c>
      <c r="N26" s="17">
        <f>VLOOKUP(L26,PL!$A:$S,$C$1+3,FALSE)</f>
        <v>3977707.5</v>
      </c>
      <c r="O26" s="17">
        <f>VLOOKUP(L26,PL!$A:$S,$C$1+4,FALSE)</f>
        <v>1046535.47</v>
      </c>
      <c r="P26" s="17">
        <f>VLOOKUP(L26,PL!$A:$S,$C$1+5,FALSE)</f>
        <v>1778299.2</v>
      </c>
      <c r="Q26" s="18">
        <f t="shared" si="4"/>
        <v>-2931172.0300000003</v>
      </c>
      <c r="R26" s="19">
        <f t="shared" si="5"/>
        <v>-0.73689984243436712</v>
      </c>
      <c r="S26" s="18">
        <f t="shared" si="6"/>
        <v>731763.73</v>
      </c>
      <c r="T26" s="19">
        <f t="shared" si="7"/>
        <v>0.69922496750157925</v>
      </c>
    </row>
    <row r="27" spans="2:24" x14ac:dyDescent="0.4">
      <c r="B27" s="6" t="s">
        <v>66</v>
      </c>
      <c r="C27" s="20" t="s">
        <v>67</v>
      </c>
      <c r="D27" s="17">
        <f>VLOOKUP(B27,BS!$A:$S,18,FALSE)-VLOOKUP(B27,BS!$A:$S,$C$1+5,FALSE)-VLOOKUP(B27,BS!$A:$S,$C$1+4,FALSE)</f>
        <v>2248900.1000000006</v>
      </c>
      <c r="E27" s="17">
        <f>VLOOKUP(B27,BS!$A:$S,18,FALSE)-VLOOKUP(B27,BS!$A:$S,$C$1+5,FALSE)</f>
        <v>5417178.9700000007</v>
      </c>
      <c r="F27" s="17">
        <f>VLOOKUP(B27,BS!$A:$S,18,FALSE)</f>
        <v>8981374.1400000006</v>
      </c>
      <c r="G27" s="18">
        <f t="shared" si="0"/>
        <v>3168278.87</v>
      </c>
      <c r="H27" s="19">
        <f t="shared" si="1"/>
        <v>1.4088126324508587</v>
      </c>
      <c r="I27" s="18">
        <f t="shared" si="2"/>
        <v>3564195.17</v>
      </c>
      <c r="J27" s="19">
        <f t="shared" si="3"/>
        <v>0.65794303450897418</v>
      </c>
      <c r="L27" s="6" t="s">
        <v>466</v>
      </c>
      <c r="M27" s="20" t="s">
        <v>467</v>
      </c>
      <c r="N27" s="17">
        <f>VLOOKUP(L27,PL!$A:$S,$C$1+3,FALSE)</f>
        <v>0</v>
      </c>
      <c r="O27" s="17">
        <f>VLOOKUP(L27,PL!$A:$S,$C$1+4,FALSE)</f>
        <v>0</v>
      </c>
      <c r="P27" s="17">
        <f>VLOOKUP(L27,PL!$A:$S,$C$1+5,FALSE)</f>
        <v>0</v>
      </c>
      <c r="Q27" s="18">
        <f t="shared" si="4"/>
        <v>0</v>
      </c>
      <c r="R27" s="19">
        <f t="shared" si="5"/>
        <v>0</v>
      </c>
      <c r="S27" s="18">
        <f t="shared" si="6"/>
        <v>0</v>
      </c>
      <c r="T27" s="19">
        <f t="shared" si="7"/>
        <v>0</v>
      </c>
      <c r="V27" s="9" t="s">
        <v>718</v>
      </c>
    </row>
    <row r="28" spans="2:24" x14ac:dyDescent="0.4">
      <c r="B28" s="6" t="s">
        <v>68</v>
      </c>
      <c r="C28" s="20" t="s">
        <v>69</v>
      </c>
      <c r="D28" s="17">
        <f>VLOOKUP(B28,BS!$A:$S,18,FALSE)-VLOOKUP(B28,BS!$A:$S,$C$1+5,FALSE)-VLOOKUP(B28,BS!$A:$S,$C$1+4,FALSE)</f>
        <v>0</v>
      </c>
      <c r="E28" s="17">
        <f>VLOOKUP(B28,BS!$A:$S,18,FALSE)-VLOOKUP(B28,BS!$A:$S,$C$1+5,FALSE)</f>
        <v>0</v>
      </c>
      <c r="F28" s="17">
        <f>VLOOKUP(B28,BS!$A:$S,18,FALSE)</f>
        <v>0</v>
      </c>
      <c r="G28" s="18">
        <f t="shared" si="0"/>
        <v>0</v>
      </c>
      <c r="H28" s="19">
        <f t="shared" si="1"/>
        <v>0</v>
      </c>
      <c r="I28" s="18">
        <f t="shared" si="2"/>
        <v>0</v>
      </c>
      <c r="J28" s="19">
        <f t="shared" si="3"/>
        <v>0</v>
      </c>
      <c r="L28" s="6" t="s">
        <v>468</v>
      </c>
      <c r="M28" s="20" t="s">
        <v>469</v>
      </c>
      <c r="N28" s="17">
        <f>VLOOKUP(L28,PL!$A:$S,$C$1+3,FALSE)</f>
        <v>0</v>
      </c>
      <c r="O28" s="17">
        <f>VLOOKUP(L28,PL!$A:$S,$C$1+4,FALSE)</f>
        <v>0</v>
      </c>
      <c r="P28" s="17">
        <f>VLOOKUP(L28,PL!$A:$S,$C$1+5,FALSE)</f>
        <v>0</v>
      </c>
      <c r="Q28" s="18">
        <f t="shared" si="4"/>
        <v>0</v>
      </c>
      <c r="R28" s="19">
        <f t="shared" si="5"/>
        <v>0</v>
      </c>
      <c r="S28" s="18">
        <f t="shared" si="6"/>
        <v>0</v>
      </c>
      <c r="T28" s="19">
        <f t="shared" si="7"/>
        <v>0</v>
      </c>
      <c r="V28" s="28" t="s">
        <v>719</v>
      </c>
      <c r="W28" s="29">
        <f>T4</f>
        <v>9.5200187922524687E-2</v>
      </c>
    </row>
    <row r="29" spans="2:24" x14ac:dyDescent="0.4">
      <c r="B29" s="6" t="s">
        <v>70</v>
      </c>
      <c r="C29" s="20" t="s">
        <v>71</v>
      </c>
      <c r="D29" s="17">
        <f>VLOOKUP(B29,BS!$A:$S,18,FALSE)-VLOOKUP(B29,BS!$A:$S,$C$1+5,FALSE)-VLOOKUP(B29,BS!$A:$S,$C$1+4,FALSE)</f>
        <v>22265421</v>
      </c>
      <c r="E29" s="17">
        <f>VLOOKUP(B29,BS!$A:$S,18,FALSE)-VLOOKUP(B29,BS!$A:$S,$C$1+5,FALSE)</f>
        <v>18165291</v>
      </c>
      <c r="F29" s="17">
        <f>VLOOKUP(B29,BS!$A:$S,18,FALSE)</f>
        <v>13592487</v>
      </c>
      <c r="G29" s="18">
        <f t="shared" si="0"/>
        <v>-4100130</v>
      </c>
      <c r="H29" s="19">
        <f t="shared" si="1"/>
        <v>-0.18414787665591412</v>
      </c>
      <c r="I29" s="18">
        <f t="shared" si="2"/>
        <v>-4572804</v>
      </c>
      <c r="J29" s="19">
        <f t="shared" si="3"/>
        <v>-0.25173304407840202</v>
      </c>
      <c r="L29" s="6" t="s">
        <v>470</v>
      </c>
      <c r="M29" s="20" t="s">
        <v>471</v>
      </c>
      <c r="N29" s="17">
        <f>VLOOKUP(L29,PL!$A:$S,$C$1+3,FALSE)</f>
        <v>0</v>
      </c>
      <c r="O29" s="17">
        <f>VLOOKUP(L29,PL!$A:$S,$C$1+4,FALSE)</f>
        <v>0</v>
      </c>
      <c r="P29" s="17">
        <f>VLOOKUP(L29,PL!$A:$S,$C$1+5,FALSE)</f>
        <v>0</v>
      </c>
      <c r="Q29" s="18">
        <f t="shared" si="4"/>
        <v>0</v>
      </c>
      <c r="R29" s="19">
        <f t="shared" si="5"/>
        <v>0</v>
      </c>
      <c r="S29" s="18">
        <f t="shared" si="6"/>
        <v>0</v>
      </c>
      <c r="T29" s="19">
        <f t="shared" si="7"/>
        <v>0</v>
      </c>
      <c r="V29" s="28" t="s">
        <v>720</v>
      </c>
      <c r="W29" s="29">
        <f>T21</f>
        <v>0.24882324602483838</v>
      </c>
    </row>
    <row r="30" spans="2:24" x14ac:dyDescent="0.4">
      <c r="B30" s="6" t="s">
        <v>72</v>
      </c>
      <c r="C30" s="20" t="s">
        <v>73</v>
      </c>
      <c r="D30" s="17">
        <f>VLOOKUP(B30,BS!$A:$S,18,FALSE)-VLOOKUP(B30,BS!$A:$S,$C$1+5,FALSE)-VLOOKUP(B30,BS!$A:$S,$C$1+4,FALSE)</f>
        <v>3637733</v>
      </c>
      <c r="E30" s="17">
        <f>VLOOKUP(B30,BS!$A:$S,18,FALSE)-VLOOKUP(B30,BS!$A:$S,$C$1+5,FALSE)</f>
        <v>6876800</v>
      </c>
      <c r="F30" s="17">
        <f>VLOOKUP(B30,BS!$A:$S,18,FALSE)</f>
        <v>1756752</v>
      </c>
      <c r="G30" s="18">
        <f t="shared" si="0"/>
        <v>3239067</v>
      </c>
      <c r="H30" s="19">
        <f t="shared" si="1"/>
        <v>0.89040811956237575</v>
      </c>
      <c r="I30" s="18">
        <f t="shared" si="2"/>
        <v>-5120048</v>
      </c>
      <c r="J30" s="19">
        <f t="shared" si="3"/>
        <v>-0.74453932061423922</v>
      </c>
      <c r="L30" s="6" t="s">
        <v>472</v>
      </c>
      <c r="M30" s="20" t="s">
        <v>473</v>
      </c>
      <c r="N30" s="17">
        <f>VLOOKUP(L30,PL!$A:$S,$C$1+3,FALSE)</f>
        <v>0</v>
      </c>
      <c r="O30" s="17">
        <f>VLOOKUP(L30,PL!$A:$S,$C$1+4,FALSE)</f>
        <v>0</v>
      </c>
      <c r="P30" s="17">
        <f>VLOOKUP(L30,PL!$A:$S,$C$1+5,FALSE)</f>
        <v>0</v>
      </c>
      <c r="Q30" s="18">
        <f t="shared" si="4"/>
        <v>0</v>
      </c>
      <c r="R30" s="19">
        <f t="shared" si="5"/>
        <v>0</v>
      </c>
      <c r="S30" s="18">
        <f t="shared" si="6"/>
        <v>0</v>
      </c>
      <c r="T30" s="19">
        <f t="shared" si="7"/>
        <v>0</v>
      </c>
      <c r="V30" s="28" t="s">
        <v>721</v>
      </c>
      <c r="W30" s="29">
        <f>T39</f>
        <v>-0.36002965428481604</v>
      </c>
    </row>
    <row r="31" spans="2:24" x14ac:dyDescent="0.4">
      <c r="B31" s="6" t="s">
        <v>74</v>
      </c>
      <c r="C31" s="20" t="s">
        <v>75</v>
      </c>
      <c r="D31" s="17">
        <f>VLOOKUP(B31,BS!$A:$S,18,FALSE)-VLOOKUP(B31,BS!$A:$S,$C$1+5,FALSE)-VLOOKUP(B31,BS!$A:$S,$C$1+4,FALSE)</f>
        <v>0</v>
      </c>
      <c r="E31" s="17">
        <f>VLOOKUP(B31,BS!$A:$S,18,FALSE)-VLOOKUP(B31,BS!$A:$S,$C$1+5,FALSE)</f>
        <v>0</v>
      </c>
      <c r="F31" s="17">
        <f>VLOOKUP(B31,BS!$A:$S,18,FALSE)</f>
        <v>0</v>
      </c>
      <c r="G31" s="18">
        <f t="shared" si="0"/>
        <v>0</v>
      </c>
      <c r="H31" s="19">
        <f t="shared" si="1"/>
        <v>0</v>
      </c>
      <c r="I31" s="18">
        <f t="shared" si="2"/>
        <v>0</v>
      </c>
      <c r="J31" s="19">
        <f t="shared" si="3"/>
        <v>0</v>
      </c>
      <c r="L31" s="6" t="s">
        <v>474</v>
      </c>
      <c r="M31" s="20" t="s">
        <v>475</v>
      </c>
      <c r="N31" s="17">
        <f>VLOOKUP(L31,PL!$A:$S,$C$1+3,FALSE)</f>
        <v>0</v>
      </c>
      <c r="O31" s="17">
        <f>VLOOKUP(L31,PL!$A:$S,$C$1+4,FALSE)</f>
        <v>0</v>
      </c>
      <c r="P31" s="17">
        <f>VLOOKUP(L31,PL!$A:$S,$C$1+5,FALSE)</f>
        <v>0</v>
      </c>
      <c r="Q31" s="18">
        <f t="shared" si="4"/>
        <v>0</v>
      </c>
      <c r="R31" s="19">
        <f t="shared" si="5"/>
        <v>0</v>
      </c>
      <c r="S31" s="18">
        <f t="shared" si="6"/>
        <v>0</v>
      </c>
      <c r="T31" s="19">
        <f t="shared" si="7"/>
        <v>0</v>
      </c>
      <c r="V31" s="28" t="s">
        <v>722</v>
      </c>
      <c r="W31" s="29">
        <f>T76</f>
        <v>-0.40489991487673282</v>
      </c>
    </row>
    <row r="32" spans="2:24" x14ac:dyDescent="0.4">
      <c r="B32" s="6" t="s">
        <v>76</v>
      </c>
      <c r="C32" s="20" t="s">
        <v>77</v>
      </c>
      <c r="D32" s="17">
        <f>VLOOKUP(B32,BS!$A:$S,18,FALSE)-VLOOKUP(B32,BS!$A:$S,$C$1+5,FALSE)-VLOOKUP(B32,BS!$A:$S,$C$1+4,FALSE)</f>
        <v>0</v>
      </c>
      <c r="E32" s="17">
        <f>VLOOKUP(B32,BS!$A:$S,18,FALSE)-VLOOKUP(B32,BS!$A:$S,$C$1+5,FALSE)</f>
        <v>0</v>
      </c>
      <c r="F32" s="17">
        <f>VLOOKUP(B32,BS!$A:$S,18,FALSE)</f>
        <v>0</v>
      </c>
      <c r="G32" s="18">
        <f t="shared" si="0"/>
        <v>0</v>
      </c>
      <c r="H32" s="19">
        <f t="shared" si="1"/>
        <v>0</v>
      </c>
      <c r="I32" s="18">
        <f t="shared" si="2"/>
        <v>0</v>
      </c>
      <c r="J32" s="19">
        <f t="shared" si="3"/>
        <v>0</v>
      </c>
      <c r="L32" s="6" t="s">
        <v>476</v>
      </c>
      <c r="M32" s="20" t="s">
        <v>477</v>
      </c>
      <c r="N32" s="17">
        <f>VLOOKUP(L32,PL!$A:$S,$C$1+3,FALSE)</f>
        <v>0</v>
      </c>
      <c r="O32" s="17">
        <f>VLOOKUP(L32,PL!$A:$S,$C$1+4,FALSE)</f>
        <v>0</v>
      </c>
      <c r="P32" s="17">
        <f>VLOOKUP(L32,PL!$A:$S,$C$1+5,FALSE)</f>
        <v>0</v>
      </c>
      <c r="Q32" s="18">
        <f t="shared" si="4"/>
        <v>0</v>
      </c>
      <c r="R32" s="19">
        <f t="shared" si="5"/>
        <v>0</v>
      </c>
      <c r="S32" s="18">
        <f t="shared" si="6"/>
        <v>0</v>
      </c>
      <c r="T32" s="19">
        <f t="shared" si="7"/>
        <v>0</v>
      </c>
    </row>
    <row r="33" spans="2:21" x14ac:dyDescent="0.4">
      <c r="B33" s="15" t="s">
        <v>78</v>
      </c>
      <c r="C33" s="16" t="s">
        <v>79</v>
      </c>
      <c r="D33" s="17">
        <f>VLOOKUP(B33,BS!$A:$S,18,FALSE)-VLOOKUP(B33,BS!$A:$S,$C$1+5,FALSE)-VLOOKUP(B33,BS!$A:$S,$C$1+4,FALSE)</f>
        <v>993494353.3499999</v>
      </c>
      <c r="E33" s="17">
        <f>VLOOKUP(B33,BS!$A:$S,18,FALSE)-VLOOKUP(B33,BS!$A:$S,$C$1+5,FALSE)</f>
        <v>1093707756.29</v>
      </c>
      <c r="F33" s="17">
        <f>VLOOKUP(B33,BS!$A:$S,18,FALSE)</f>
        <v>1109257665.01</v>
      </c>
      <c r="G33" s="18">
        <f t="shared" si="0"/>
        <v>100213402.94000006</v>
      </c>
      <c r="H33" s="19">
        <f t="shared" si="1"/>
        <v>0.10086962507847863</v>
      </c>
      <c r="I33" s="18">
        <f t="shared" si="2"/>
        <v>15549908.720000029</v>
      </c>
      <c r="J33" s="19">
        <f t="shared" si="3"/>
        <v>1.421760852528591E-2</v>
      </c>
      <c r="L33" s="6" t="s">
        <v>478</v>
      </c>
      <c r="M33" s="20" t="s">
        <v>479</v>
      </c>
      <c r="N33" s="17">
        <f>VLOOKUP(L33,PL!$A:$S,$C$1+3,FALSE)</f>
        <v>0</v>
      </c>
      <c r="O33" s="17">
        <f>VLOOKUP(L33,PL!$A:$S,$C$1+4,FALSE)</f>
        <v>0</v>
      </c>
      <c r="P33" s="17">
        <f>VLOOKUP(L33,PL!$A:$S,$C$1+5,FALSE)</f>
        <v>205258.92</v>
      </c>
      <c r="Q33" s="18">
        <f t="shared" si="4"/>
        <v>0</v>
      </c>
      <c r="R33" s="19">
        <f t="shared" si="5"/>
        <v>0</v>
      </c>
      <c r="S33" s="18">
        <f t="shared" si="6"/>
        <v>205258.92</v>
      </c>
      <c r="T33" s="19">
        <f t="shared" si="7"/>
        <v>0</v>
      </c>
    </row>
    <row r="34" spans="2:21" x14ac:dyDescent="0.4">
      <c r="B34" s="15" t="s">
        <v>80</v>
      </c>
      <c r="C34" s="16" t="s">
        <v>81</v>
      </c>
      <c r="D34" s="17">
        <f>VLOOKUP(B34,BS!$A:$S,18,FALSE)-VLOOKUP(B34,BS!$A:$S,$C$1+5,FALSE)-VLOOKUP(B34,BS!$A:$S,$C$1+4,FALSE)</f>
        <v>1306041800.23</v>
      </c>
      <c r="E34" s="17">
        <f>VLOOKUP(B34,BS!$A:$S,18,FALSE)-VLOOKUP(B34,BS!$A:$S,$C$1+5,FALSE)</f>
        <v>1406951323.21</v>
      </c>
      <c r="F34" s="17">
        <f>VLOOKUP(B34,BS!$A:$S,18,FALSE)</f>
        <v>1434789652.8099999</v>
      </c>
      <c r="G34" s="18">
        <f t="shared" si="0"/>
        <v>100909522.98000002</v>
      </c>
      <c r="H34" s="19">
        <f t="shared" si="1"/>
        <v>7.7263624305308892E-2</v>
      </c>
      <c r="I34" s="18">
        <f t="shared" si="2"/>
        <v>27838329.599999905</v>
      </c>
      <c r="J34" s="19">
        <f t="shared" si="3"/>
        <v>1.9786277706101411E-2</v>
      </c>
      <c r="L34" s="6" t="s">
        <v>480</v>
      </c>
      <c r="M34" s="20" t="s">
        <v>481</v>
      </c>
      <c r="N34" s="17">
        <f>VLOOKUP(L34,PL!$A:$S,$C$1+3,FALSE)</f>
        <v>0</v>
      </c>
      <c r="O34" s="17">
        <f>VLOOKUP(L34,PL!$A:$S,$C$1+4,FALSE)</f>
        <v>0</v>
      </c>
      <c r="P34" s="17">
        <f>VLOOKUP(L34,PL!$A:$S,$C$1+5,FALSE)</f>
        <v>0</v>
      </c>
      <c r="Q34" s="18">
        <f t="shared" si="4"/>
        <v>0</v>
      </c>
      <c r="R34" s="19">
        <f t="shared" si="5"/>
        <v>0</v>
      </c>
      <c r="S34" s="18">
        <f t="shared" si="6"/>
        <v>0</v>
      </c>
      <c r="T34" s="19">
        <f t="shared" si="7"/>
        <v>0</v>
      </c>
    </row>
    <row r="35" spans="2:21" x14ac:dyDescent="0.4">
      <c r="B35" s="6" t="s">
        <v>82</v>
      </c>
      <c r="C35" s="20" t="s">
        <v>83</v>
      </c>
      <c r="D35" s="17">
        <f>VLOOKUP(B35,BS!$A:$S,18,FALSE)-VLOOKUP(B35,BS!$A:$S,$C$1+5,FALSE)-VLOOKUP(B35,BS!$A:$S,$C$1+4,FALSE)</f>
        <v>252431909.35999998</v>
      </c>
      <c r="E35" s="17">
        <f>VLOOKUP(B35,BS!$A:$S,18,FALSE)-VLOOKUP(B35,BS!$A:$S,$C$1+5,FALSE)</f>
        <v>299586705.31999999</v>
      </c>
      <c r="F35" s="17">
        <f>VLOOKUP(B35,BS!$A:$S,18,FALSE)</f>
        <v>264295561.97</v>
      </c>
      <c r="G35" s="18">
        <f t="shared" si="0"/>
        <v>47154795.960000008</v>
      </c>
      <c r="H35" s="19">
        <f t="shared" si="1"/>
        <v>0.18680204130909328</v>
      </c>
      <c r="I35" s="18">
        <f t="shared" si="2"/>
        <v>-35291143.349999994</v>
      </c>
      <c r="J35" s="19">
        <f t="shared" si="3"/>
        <v>-0.11779943076013395</v>
      </c>
      <c r="L35" s="6" t="s">
        <v>482</v>
      </c>
      <c r="M35" s="20" t="s">
        <v>483</v>
      </c>
      <c r="N35" s="17">
        <f>VLOOKUP(L35,PL!$A:$S,$C$1+3,FALSE)</f>
        <v>0</v>
      </c>
      <c r="O35" s="17">
        <f>VLOOKUP(L35,PL!$A:$S,$C$1+4,FALSE)</f>
        <v>0</v>
      </c>
      <c r="P35" s="17">
        <f>VLOOKUP(L35,PL!$A:$S,$C$1+5,FALSE)</f>
        <v>0</v>
      </c>
      <c r="Q35" s="18">
        <f t="shared" si="4"/>
        <v>0</v>
      </c>
      <c r="R35" s="19">
        <f t="shared" si="5"/>
        <v>0</v>
      </c>
      <c r="S35" s="18">
        <f t="shared" si="6"/>
        <v>0</v>
      </c>
      <c r="T35" s="19">
        <f t="shared" si="7"/>
        <v>0</v>
      </c>
    </row>
    <row r="36" spans="2:21" x14ac:dyDescent="0.4">
      <c r="B36" s="6" t="s">
        <v>84</v>
      </c>
      <c r="C36" s="20" t="s">
        <v>85</v>
      </c>
      <c r="D36" s="17">
        <f>VLOOKUP(B36,BS!$A:$S,18,FALSE)-VLOOKUP(B36,BS!$A:$S,$C$1+5,FALSE)-VLOOKUP(B36,BS!$A:$S,$C$1+4,FALSE)</f>
        <v>939440895.86000001</v>
      </c>
      <c r="E36" s="17">
        <f>VLOOKUP(B36,BS!$A:$S,18,FALSE)-VLOOKUP(B36,BS!$A:$S,$C$1+5,FALSE)</f>
        <v>998636360.93000007</v>
      </c>
      <c r="F36" s="17">
        <f>VLOOKUP(B36,BS!$A:$S,18,FALSE)</f>
        <v>1057519745.49</v>
      </c>
      <c r="G36" s="18">
        <f t="shared" si="0"/>
        <v>59195465.070000052</v>
      </c>
      <c r="H36" s="19">
        <f t="shared" si="1"/>
        <v>6.3011377651182907E-2</v>
      </c>
      <c r="I36" s="18">
        <f t="shared" si="2"/>
        <v>58883384.559999943</v>
      </c>
      <c r="J36" s="19">
        <f t="shared" si="3"/>
        <v>5.896378988760595E-2</v>
      </c>
      <c r="L36" s="6" t="s">
        <v>739</v>
      </c>
      <c r="M36" s="20" t="s">
        <v>740</v>
      </c>
      <c r="N36" s="17">
        <f>VLOOKUP(L36,PL!$A:$S,$C$1+3,FALSE)</f>
        <v>0</v>
      </c>
      <c r="O36" s="17">
        <f>VLOOKUP(L36,PL!$A:$S,$C$1+4,FALSE)</f>
        <v>0</v>
      </c>
      <c r="P36" s="17">
        <f>VLOOKUP(L36,PL!$A:$S,$C$1+5,FALSE)</f>
        <v>0</v>
      </c>
      <c r="Q36" s="18">
        <f t="shared" ref="Q36" si="14">O36-N36</f>
        <v>0</v>
      </c>
      <c r="R36" s="19">
        <f t="shared" ref="R36" si="15">IFERROR(Q36/N36,0)</f>
        <v>0</v>
      </c>
      <c r="S36" s="18">
        <f t="shared" ref="S36" si="16">P36-O36</f>
        <v>0</v>
      </c>
      <c r="T36" s="19">
        <f t="shared" ref="T36" si="17">IFERROR(S36/O36,0)</f>
        <v>0</v>
      </c>
    </row>
    <row r="37" spans="2:21" x14ac:dyDescent="0.4">
      <c r="B37" s="6" t="s">
        <v>86</v>
      </c>
      <c r="C37" s="20" t="s">
        <v>87</v>
      </c>
      <c r="D37" s="17">
        <f>VLOOKUP(B37,BS!$A:$S,18,FALSE)-VLOOKUP(B37,BS!$A:$S,$C$1+5,FALSE)-VLOOKUP(B37,BS!$A:$S,$C$1+4,FALSE)</f>
        <v>34134290.349999994</v>
      </c>
      <c r="E37" s="17">
        <f>VLOOKUP(B37,BS!$A:$S,18,FALSE)-VLOOKUP(B37,BS!$A:$S,$C$1+5,FALSE)</f>
        <v>29524000.189999998</v>
      </c>
      <c r="F37" s="17">
        <f>VLOOKUP(B37,BS!$A:$S,18,FALSE)</f>
        <v>30676980.27</v>
      </c>
      <c r="G37" s="18">
        <f t="shared" si="0"/>
        <v>-4610290.1599999964</v>
      </c>
      <c r="H37" s="19">
        <f t="shared" si="1"/>
        <v>-0.13506330768057104</v>
      </c>
      <c r="I37" s="18">
        <f t="shared" si="2"/>
        <v>1152980.0800000019</v>
      </c>
      <c r="J37" s="19">
        <f t="shared" si="3"/>
        <v>3.9052298895138372E-2</v>
      </c>
      <c r="L37" s="6" t="s">
        <v>484</v>
      </c>
      <c r="M37" s="20" t="s">
        <v>485</v>
      </c>
      <c r="N37" s="17">
        <f>VLOOKUP(L37,PL!$A:$S,$C$1+3,FALSE)</f>
        <v>0</v>
      </c>
      <c r="O37" s="17">
        <f>VLOOKUP(L37,PL!$A:$S,$C$1+4,FALSE)</f>
        <v>0</v>
      </c>
      <c r="P37" s="17">
        <f>VLOOKUP(L37,PL!$A:$S,$C$1+5,FALSE)</f>
        <v>0</v>
      </c>
      <c r="Q37" s="18">
        <f t="shared" si="4"/>
        <v>0</v>
      </c>
      <c r="R37" s="19">
        <f t="shared" si="5"/>
        <v>0</v>
      </c>
      <c r="S37" s="18">
        <f t="shared" si="6"/>
        <v>0</v>
      </c>
      <c r="T37" s="19">
        <f t="shared" si="7"/>
        <v>0</v>
      </c>
    </row>
    <row r="38" spans="2:21" x14ac:dyDescent="0.4">
      <c r="B38" s="6" t="s">
        <v>88</v>
      </c>
      <c r="C38" s="20" t="s">
        <v>89</v>
      </c>
      <c r="D38" s="17">
        <f>VLOOKUP(B38,BS!$A:$S,18,FALSE)-VLOOKUP(B38,BS!$A:$S,$C$1+5,FALSE)-VLOOKUP(B38,BS!$A:$S,$C$1+4,FALSE)</f>
        <v>80034704.659999996</v>
      </c>
      <c r="E38" s="17">
        <f>VLOOKUP(B38,BS!$A:$S,18,FALSE)-VLOOKUP(B38,BS!$A:$S,$C$1+5,FALSE)</f>
        <v>79204256.769999996</v>
      </c>
      <c r="F38" s="17">
        <f>VLOOKUP(B38,BS!$A:$S,18,FALSE)</f>
        <v>82297365.079999998</v>
      </c>
      <c r="G38" s="18">
        <f t="shared" si="0"/>
        <v>-830447.8900000006</v>
      </c>
      <c r="H38" s="19">
        <f t="shared" si="1"/>
        <v>-1.0376097388350138E-2</v>
      </c>
      <c r="I38" s="18">
        <f t="shared" si="2"/>
        <v>3093108.3100000024</v>
      </c>
      <c r="J38" s="19">
        <f t="shared" si="3"/>
        <v>3.9052298905878649E-2</v>
      </c>
      <c r="L38" s="15" t="s">
        <v>486</v>
      </c>
      <c r="M38" s="16" t="s">
        <v>487</v>
      </c>
      <c r="N38" s="17">
        <f>VLOOKUP(L38,PL!$A:$S,$C$1+3,FALSE)</f>
        <v>58653160.200000003</v>
      </c>
      <c r="O38" s="17">
        <f>VLOOKUP(L38,PL!$A:$S,$C$1+4,FALSE)</f>
        <v>46099021.859999999</v>
      </c>
      <c r="P38" s="17">
        <f>VLOOKUP(L38,PL!$A:$S,$C$1+5,FALSE)</f>
        <v>35158705.670000002</v>
      </c>
      <c r="Q38" s="18">
        <f t="shared" si="4"/>
        <v>-12554138.340000004</v>
      </c>
      <c r="R38" s="19">
        <f t="shared" si="5"/>
        <v>-0.2140402716101221</v>
      </c>
      <c r="S38" s="18">
        <f t="shared" si="6"/>
        <v>-10940316.189999998</v>
      </c>
      <c r="T38" s="19">
        <f t="shared" si="7"/>
        <v>-0.23732208946265912</v>
      </c>
    </row>
    <row r="39" spans="2:21" x14ac:dyDescent="0.4">
      <c r="B39" s="6" t="s">
        <v>90</v>
      </c>
      <c r="C39" s="20" t="s">
        <v>91</v>
      </c>
      <c r="D39" s="17">
        <f>VLOOKUP(B39,BS!$A:$S,18,FALSE)-VLOOKUP(B39,BS!$A:$S,$C$1+5,FALSE)-VLOOKUP(B39,BS!$A:$S,$C$1+4,FALSE)</f>
        <v>0</v>
      </c>
      <c r="E39" s="17">
        <f>VLOOKUP(B39,BS!$A:$S,18,FALSE)-VLOOKUP(B39,BS!$A:$S,$C$1+5,FALSE)</f>
        <v>0</v>
      </c>
      <c r="F39" s="17">
        <f>VLOOKUP(B39,BS!$A:$S,18,FALSE)</f>
        <v>0</v>
      </c>
      <c r="G39" s="18">
        <f t="shared" si="0"/>
        <v>0</v>
      </c>
      <c r="H39" s="19">
        <f t="shared" si="1"/>
        <v>0</v>
      </c>
      <c r="I39" s="18">
        <f t="shared" si="2"/>
        <v>0</v>
      </c>
      <c r="J39" s="19">
        <f t="shared" si="3"/>
        <v>0</v>
      </c>
      <c r="L39" s="15" t="s">
        <v>488</v>
      </c>
      <c r="M39" s="16" t="s">
        <v>489</v>
      </c>
      <c r="N39" s="17">
        <f>VLOOKUP(L39,PL!$A:$S,$C$1+3,FALSE)</f>
        <v>136104248.09999999</v>
      </c>
      <c r="O39" s="17">
        <f>VLOOKUP(L39,PL!$A:$S,$C$1+4,FALSE)</f>
        <v>172166903.75999999</v>
      </c>
      <c r="P39" s="17">
        <f>VLOOKUP(L39,PL!$A:$S,$C$1+5,FALSE)</f>
        <v>110181712.92</v>
      </c>
      <c r="Q39" s="18">
        <f t="shared" si="4"/>
        <v>36062655.659999996</v>
      </c>
      <c r="R39" s="19">
        <f t="shared" si="5"/>
        <v>0.26496348323752283</v>
      </c>
      <c r="S39" s="18">
        <f t="shared" si="6"/>
        <v>-61985190.839999989</v>
      </c>
      <c r="T39" s="19">
        <f t="shared" si="7"/>
        <v>-0.36002965428481604</v>
      </c>
    </row>
    <row r="40" spans="2:21" x14ac:dyDescent="0.4">
      <c r="B40" s="6" t="s">
        <v>92</v>
      </c>
      <c r="C40" s="20" t="s">
        <v>93</v>
      </c>
      <c r="D40" s="17">
        <f>VLOOKUP(B40,BS!$A:$S,18,FALSE)-VLOOKUP(B40,BS!$A:$S,$C$1+5,FALSE)-VLOOKUP(B40,BS!$A:$S,$C$1+4,FALSE)</f>
        <v>-319994492.94999993</v>
      </c>
      <c r="E40" s="17">
        <f>VLOOKUP(B40,BS!$A:$S,18,FALSE)-VLOOKUP(B40,BS!$A:$S,$C$1+5,FALSE)</f>
        <v>-321016475.05999994</v>
      </c>
      <c r="F40" s="17">
        <f>VLOOKUP(B40,BS!$A:$S,18,FALSE)</f>
        <v>-333719231.27999997</v>
      </c>
      <c r="G40" s="18">
        <f t="shared" si="0"/>
        <v>-1021982.1100000143</v>
      </c>
      <c r="H40" s="19">
        <f t="shared" si="1"/>
        <v>3.1937490566742409E-3</v>
      </c>
      <c r="I40" s="18">
        <f t="shared" si="2"/>
        <v>-12702756.220000029</v>
      </c>
      <c r="J40" s="19">
        <f t="shared" si="3"/>
        <v>3.9570418364433806E-2</v>
      </c>
      <c r="L40" s="6" t="s">
        <v>490</v>
      </c>
      <c r="M40" s="20" t="s">
        <v>491</v>
      </c>
      <c r="N40" s="17">
        <f>VLOOKUP(L40,PL!$A:$S,$C$1+3,FALSE)</f>
        <v>61116484.259999998</v>
      </c>
      <c r="O40" s="17">
        <f>VLOOKUP(L40,PL!$A:$S,$C$1+4,FALSE)</f>
        <v>69099494.5</v>
      </c>
      <c r="P40" s="17">
        <f>VLOOKUP(L40,PL!$A:$S,$C$1+5,FALSE)</f>
        <v>62213259.93</v>
      </c>
      <c r="Q40" s="18">
        <f t="shared" si="4"/>
        <v>7983010.2400000021</v>
      </c>
      <c r="R40" s="19">
        <f t="shared" si="5"/>
        <v>0.13061959202428772</v>
      </c>
      <c r="S40" s="18">
        <f t="shared" si="6"/>
        <v>-6886234.5700000003</v>
      </c>
      <c r="T40" s="19">
        <f t="shared" si="7"/>
        <v>-9.9656800962559869E-2</v>
      </c>
    </row>
    <row r="41" spans="2:21" x14ac:dyDescent="0.4">
      <c r="B41" s="6" t="s">
        <v>94</v>
      </c>
      <c r="C41" s="20" t="s">
        <v>95</v>
      </c>
      <c r="D41" s="17">
        <f>VLOOKUP(B41,BS!$A:$S,18,FALSE)-VLOOKUP(B41,BS!$A:$S,$C$1+5,FALSE)-VLOOKUP(B41,BS!$A:$S,$C$1+4,FALSE)</f>
        <v>0</v>
      </c>
      <c r="E41" s="17">
        <f>VLOOKUP(B41,BS!$A:$S,18,FALSE)-VLOOKUP(B41,BS!$A:$S,$C$1+5,FALSE)</f>
        <v>0</v>
      </c>
      <c r="F41" s="17">
        <f>VLOOKUP(B41,BS!$A:$S,18,FALSE)</f>
        <v>0</v>
      </c>
      <c r="G41" s="18">
        <f t="shared" si="0"/>
        <v>0</v>
      </c>
      <c r="H41" s="19">
        <f t="shared" si="1"/>
        <v>0</v>
      </c>
      <c r="I41" s="18">
        <f t="shared" si="2"/>
        <v>0</v>
      </c>
      <c r="J41" s="19">
        <f t="shared" si="3"/>
        <v>0</v>
      </c>
      <c r="L41" s="6" t="s">
        <v>492</v>
      </c>
      <c r="M41" s="20" t="s">
        <v>493</v>
      </c>
      <c r="N41" s="17">
        <f>VLOOKUP(L41,PL!$A:$S,$C$1+3,FALSE)</f>
        <v>3584613</v>
      </c>
      <c r="O41" s="17">
        <f>VLOOKUP(L41,PL!$A:$S,$C$1+4,FALSE)</f>
        <v>7489867</v>
      </c>
      <c r="P41" s="17">
        <f>VLOOKUP(L41,PL!$A:$S,$C$1+5,FALSE)</f>
        <v>14893485</v>
      </c>
      <c r="Q41" s="18">
        <f t="shared" si="4"/>
        <v>3905254</v>
      </c>
      <c r="R41" s="19">
        <f t="shared" si="5"/>
        <v>1.08944926551346</v>
      </c>
      <c r="S41" s="18">
        <f t="shared" si="6"/>
        <v>7403618</v>
      </c>
      <c r="T41" s="19">
        <f t="shared" si="7"/>
        <v>0.98848457522676969</v>
      </c>
    </row>
    <row r="42" spans="2:21" x14ac:dyDescent="0.4">
      <c r="B42" s="6" t="s">
        <v>96</v>
      </c>
      <c r="C42" s="20" t="s">
        <v>97</v>
      </c>
      <c r="D42" s="17">
        <f>VLOOKUP(B42,BS!$A:$S,18,FALSE)-VLOOKUP(B42,BS!$A:$S,$C$1+5,FALSE)-VLOOKUP(B42,BS!$A:$S,$C$1+4,FALSE)</f>
        <v>0</v>
      </c>
      <c r="E42" s="17">
        <f>VLOOKUP(B42,BS!$A:$S,18,FALSE)-VLOOKUP(B42,BS!$A:$S,$C$1+5,FALSE)</f>
        <v>0</v>
      </c>
      <c r="F42" s="17">
        <f>VLOOKUP(B42,BS!$A:$S,18,FALSE)</f>
        <v>0</v>
      </c>
      <c r="G42" s="18">
        <f t="shared" si="0"/>
        <v>0</v>
      </c>
      <c r="H42" s="19">
        <f t="shared" si="1"/>
        <v>0</v>
      </c>
      <c r="I42" s="18">
        <f t="shared" si="2"/>
        <v>0</v>
      </c>
      <c r="J42" s="19">
        <f t="shared" si="3"/>
        <v>0</v>
      </c>
      <c r="L42" s="6" t="s">
        <v>494</v>
      </c>
      <c r="M42" s="20" t="s">
        <v>495</v>
      </c>
      <c r="N42" s="17">
        <f>VLOOKUP(L42,PL!$A:$S,$C$1+3,FALSE)</f>
        <v>1509946</v>
      </c>
      <c r="O42" s="17">
        <f>VLOOKUP(L42,PL!$A:$S,$C$1+4,FALSE)</f>
        <v>-1509946</v>
      </c>
      <c r="P42" s="17">
        <f>VLOOKUP(L42,PL!$A:$S,$C$1+5,FALSE)</f>
        <v>0</v>
      </c>
      <c r="Q42" s="18">
        <f t="shared" si="4"/>
        <v>-3019892</v>
      </c>
      <c r="R42" s="19">
        <f t="shared" si="5"/>
        <v>-2</v>
      </c>
      <c r="S42" s="18">
        <f t="shared" si="6"/>
        <v>1509946</v>
      </c>
      <c r="T42" s="19">
        <f t="shared" si="7"/>
        <v>-1</v>
      </c>
    </row>
    <row r="43" spans="2:21" x14ac:dyDescent="0.4">
      <c r="B43" s="6" t="s">
        <v>98</v>
      </c>
      <c r="C43" s="20" t="s">
        <v>99</v>
      </c>
      <c r="D43" s="17">
        <f>VLOOKUP(B43,BS!$A:$S,18,FALSE)-VLOOKUP(B43,BS!$A:$S,$C$1+5,FALSE)-VLOOKUP(B43,BS!$A:$S,$C$1+4,FALSE)</f>
        <v>0</v>
      </c>
      <c r="E43" s="17">
        <f>VLOOKUP(B43,BS!$A:$S,18,FALSE)-VLOOKUP(B43,BS!$A:$S,$C$1+5,FALSE)</f>
        <v>0</v>
      </c>
      <c r="F43" s="17">
        <f>VLOOKUP(B43,BS!$A:$S,18,FALSE)</f>
        <v>0</v>
      </c>
      <c r="G43" s="18">
        <f t="shared" si="0"/>
        <v>0</v>
      </c>
      <c r="H43" s="19">
        <f t="shared" si="1"/>
        <v>0</v>
      </c>
      <c r="I43" s="18">
        <f t="shared" si="2"/>
        <v>0</v>
      </c>
      <c r="J43" s="19">
        <f t="shared" si="3"/>
        <v>0</v>
      </c>
      <c r="L43" s="6" t="s">
        <v>741</v>
      </c>
      <c r="M43" s="20" t="s">
        <v>742</v>
      </c>
      <c r="N43" s="17">
        <f>VLOOKUP(L43,PL!$A:$S,$C$1+3,FALSE)</f>
        <v>0</v>
      </c>
      <c r="O43" s="17">
        <f>VLOOKUP(L43,PL!$A:$S,$C$1+4,FALSE)</f>
        <v>0</v>
      </c>
      <c r="P43" s="17">
        <f>VLOOKUP(L43,PL!$A:$S,$C$1+5,FALSE)</f>
        <v>0</v>
      </c>
      <c r="Q43" s="18">
        <f t="shared" ref="Q43" si="18">O43-N43</f>
        <v>0</v>
      </c>
      <c r="R43" s="19">
        <f t="shared" ref="R43" si="19">IFERROR(Q43/N43,0)</f>
        <v>0</v>
      </c>
      <c r="S43" s="18">
        <f t="shared" ref="S43" si="20">P43-O43</f>
        <v>0</v>
      </c>
      <c r="T43" s="19">
        <f t="shared" ref="T43" si="21">IFERROR(S43/O43,0)</f>
        <v>0</v>
      </c>
    </row>
    <row r="44" spans="2:21" x14ac:dyDescent="0.4">
      <c r="B44" s="6" t="s">
        <v>100</v>
      </c>
      <c r="C44" s="20" t="s">
        <v>101</v>
      </c>
      <c r="D44" s="17">
        <f>VLOOKUP(B44,BS!$A:$S,18,FALSE)-VLOOKUP(B44,BS!$A:$S,$C$1+5,FALSE)-VLOOKUP(B44,BS!$A:$S,$C$1+4,FALSE)</f>
        <v>0</v>
      </c>
      <c r="E44" s="17">
        <f>VLOOKUP(B44,BS!$A:$S,18,FALSE)-VLOOKUP(B44,BS!$A:$S,$C$1+5,FALSE)</f>
        <v>0</v>
      </c>
      <c r="F44" s="17">
        <f>VLOOKUP(B44,BS!$A:$S,18,FALSE)</f>
        <v>0</v>
      </c>
      <c r="G44" s="18">
        <f t="shared" si="0"/>
        <v>0</v>
      </c>
      <c r="H44" s="19">
        <f t="shared" si="1"/>
        <v>0</v>
      </c>
      <c r="I44" s="18">
        <f t="shared" si="2"/>
        <v>0</v>
      </c>
      <c r="J44" s="19">
        <f t="shared" si="3"/>
        <v>0</v>
      </c>
      <c r="L44" s="6" t="s">
        <v>496</v>
      </c>
      <c r="M44" s="20" t="s">
        <v>497</v>
      </c>
      <c r="N44" s="17">
        <f>VLOOKUP(L44,PL!$A:$S,$C$1+3,FALSE)</f>
        <v>0</v>
      </c>
      <c r="O44" s="17">
        <f>VLOOKUP(L44,PL!$A:$S,$C$1+4,FALSE)</f>
        <v>0</v>
      </c>
      <c r="P44" s="17">
        <f>VLOOKUP(L44,PL!$A:$S,$C$1+5,FALSE)</f>
        <v>0</v>
      </c>
      <c r="Q44" s="18">
        <f t="shared" si="4"/>
        <v>0</v>
      </c>
      <c r="R44" s="19">
        <f t="shared" si="5"/>
        <v>0</v>
      </c>
      <c r="S44" s="18">
        <f t="shared" si="6"/>
        <v>0</v>
      </c>
      <c r="T44" s="19">
        <f t="shared" si="7"/>
        <v>0</v>
      </c>
    </row>
    <row r="45" spans="2:21" x14ac:dyDescent="0.4">
      <c r="B45" s="6" t="s">
        <v>102</v>
      </c>
      <c r="C45" s="20" t="s">
        <v>103</v>
      </c>
      <c r="D45" s="17">
        <f>VLOOKUP(B45,BS!$A:$S,18,FALSE)-VLOOKUP(B45,BS!$A:$S,$C$1+5,FALSE)-VLOOKUP(B45,BS!$A:$S,$C$1+4,FALSE)</f>
        <v>0</v>
      </c>
      <c r="E45" s="17">
        <f>VLOOKUP(B45,BS!$A:$S,18,FALSE)-VLOOKUP(B45,BS!$A:$S,$C$1+5,FALSE)</f>
        <v>0</v>
      </c>
      <c r="F45" s="17">
        <f>VLOOKUP(B45,BS!$A:$S,18,FALSE)</f>
        <v>0</v>
      </c>
      <c r="G45" s="18">
        <f t="shared" si="0"/>
        <v>0</v>
      </c>
      <c r="H45" s="19">
        <f t="shared" si="1"/>
        <v>0</v>
      </c>
      <c r="I45" s="18">
        <f t="shared" si="2"/>
        <v>0</v>
      </c>
      <c r="J45" s="19">
        <f t="shared" si="3"/>
        <v>0</v>
      </c>
      <c r="L45" s="6" t="s">
        <v>498</v>
      </c>
      <c r="M45" s="20" t="s">
        <v>499</v>
      </c>
      <c r="N45" s="17">
        <f>VLOOKUP(L45,PL!$A:$S,$C$1+3,FALSE)</f>
        <v>6659130</v>
      </c>
      <c r="O45" s="17">
        <f>VLOOKUP(L45,PL!$A:$S,$C$1+4,FALSE)</f>
        <v>7247584.2599999998</v>
      </c>
      <c r="P45" s="17">
        <f>VLOOKUP(L45,PL!$A:$S,$C$1+5,FALSE)</f>
        <v>11559346.74</v>
      </c>
      <c r="Q45" s="18">
        <f t="shared" si="4"/>
        <v>588454.25999999978</v>
      </c>
      <c r="R45" s="19">
        <f t="shared" si="5"/>
        <v>8.8368039068166523E-2</v>
      </c>
      <c r="S45" s="18">
        <f t="shared" si="6"/>
        <v>4311762.4800000004</v>
      </c>
      <c r="T45" s="19">
        <f t="shared" si="7"/>
        <v>0.59492409129990587</v>
      </c>
    </row>
    <row r="46" spans="2:21" x14ac:dyDescent="0.4">
      <c r="B46" s="6" t="s">
        <v>104</v>
      </c>
      <c r="C46" s="20" t="s">
        <v>105</v>
      </c>
      <c r="D46" s="17">
        <f>VLOOKUP(B46,BS!$A:$S,18,FALSE)-VLOOKUP(B46,BS!$A:$S,$C$1+5,FALSE)-VLOOKUP(B46,BS!$A:$S,$C$1+4,FALSE)</f>
        <v>0</v>
      </c>
      <c r="E46" s="17">
        <f>VLOOKUP(B46,BS!$A:$S,18,FALSE)-VLOOKUP(B46,BS!$A:$S,$C$1+5,FALSE)</f>
        <v>0</v>
      </c>
      <c r="F46" s="17">
        <f>VLOOKUP(B46,BS!$A:$S,18,FALSE)</f>
        <v>0</v>
      </c>
      <c r="G46" s="18">
        <f t="shared" si="0"/>
        <v>0</v>
      </c>
      <c r="H46" s="19">
        <f t="shared" si="1"/>
        <v>0</v>
      </c>
      <c r="I46" s="18">
        <f t="shared" si="2"/>
        <v>0</v>
      </c>
      <c r="J46" s="19">
        <f t="shared" si="3"/>
        <v>0</v>
      </c>
      <c r="L46" s="6" t="s">
        <v>500</v>
      </c>
      <c r="M46" s="20" t="s">
        <v>501</v>
      </c>
      <c r="N46" s="17">
        <f>VLOOKUP(L46,PL!$A:$S,$C$1+3,FALSE)</f>
        <v>0</v>
      </c>
      <c r="O46" s="17">
        <f>VLOOKUP(L46,PL!$A:$S,$C$1+4,FALSE)</f>
        <v>0</v>
      </c>
      <c r="P46" s="17">
        <f>VLOOKUP(L46,PL!$A:$S,$C$1+5,FALSE)</f>
        <v>0</v>
      </c>
      <c r="Q46" s="18">
        <f t="shared" si="4"/>
        <v>0</v>
      </c>
      <c r="R46" s="19">
        <f t="shared" si="5"/>
        <v>0</v>
      </c>
      <c r="S46" s="18">
        <f t="shared" si="6"/>
        <v>0</v>
      </c>
      <c r="T46" s="19">
        <f t="shared" si="7"/>
        <v>0</v>
      </c>
      <c r="U46" s="30"/>
    </row>
    <row r="47" spans="2:21" x14ac:dyDescent="0.4">
      <c r="B47" s="6" t="s">
        <v>106</v>
      </c>
      <c r="C47" s="20" t="s">
        <v>107</v>
      </c>
      <c r="D47" s="17">
        <f>VLOOKUP(B47,BS!$A:$S,18,FALSE)-VLOOKUP(B47,BS!$A:$S,$C$1+5,FALSE)-VLOOKUP(B47,BS!$A:$S,$C$1+4,FALSE)</f>
        <v>0</v>
      </c>
      <c r="E47" s="17">
        <f>VLOOKUP(B47,BS!$A:$S,18,FALSE)-VLOOKUP(B47,BS!$A:$S,$C$1+5,FALSE)</f>
        <v>0</v>
      </c>
      <c r="F47" s="17">
        <f>VLOOKUP(B47,BS!$A:$S,18,FALSE)</f>
        <v>0</v>
      </c>
      <c r="G47" s="18">
        <f t="shared" si="0"/>
        <v>0</v>
      </c>
      <c r="H47" s="19">
        <f t="shared" si="1"/>
        <v>0</v>
      </c>
      <c r="I47" s="18">
        <f t="shared" si="2"/>
        <v>0</v>
      </c>
      <c r="J47" s="19">
        <f t="shared" si="3"/>
        <v>0</v>
      </c>
      <c r="L47" s="6" t="s">
        <v>502</v>
      </c>
      <c r="M47" s="20" t="s">
        <v>503</v>
      </c>
      <c r="N47" s="17">
        <f>VLOOKUP(L47,PL!$A:$S,$C$1+3,FALSE)</f>
        <v>366893.1</v>
      </c>
      <c r="O47" s="17">
        <f>VLOOKUP(L47,PL!$A:$S,$C$1+4,FALSE)</f>
        <v>1450280.24</v>
      </c>
      <c r="P47" s="17">
        <f>VLOOKUP(L47,PL!$A:$S,$C$1+5,FALSE)</f>
        <v>2157264.0099999998</v>
      </c>
      <c r="Q47" s="18">
        <f t="shared" si="4"/>
        <v>1083387.1400000001</v>
      </c>
      <c r="R47" s="19">
        <f t="shared" si="5"/>
        <v>2.9528686693753583</v>
      </c>
      <c r="S47" s="18">
        <f t="shared" si="6"/>
        <v>706983.76999999979</v>
      </c>
      <c r="T47" s="19">
        <f t="shared" si="7"/>
        <v>0.48748079888339357</v>
      </c>
    </row>
    <row r="48" spans="2:21" x14ac:dyDescent="0.4">
      <c r="B48" s="6" t="s">
        <v>108</v>
      </c>
      <c r="C48" s="20" t="s">
        <v>109</v>
      </c>
      <c r="D48" s="17">
        <f>VLOOKUP(B48,BS!$A:$S,18,FALSE)-VLOOKUP(B48,BS!$A:$S,$C$1+5,FALSE)-VLOOKUP(B48,BS!$A:$S,$C$1+4,FALSE)</f>
        <v>0</v>
      </c>
      <c r="E48" s="17">
        <f>VLOOKUP(B48,BS!$A:$S,18,FALSE)-VLOOKUP(B48,BS!$A:$S,$C$1+5,FALSE)</f>
        <v>0</v>
      </c>
      <c r="F48" s="17">
        <f>VLOOKUP(B48,BS!$A:$S,18,FALSE)</f>
        <v>0</v>
      </c>
      <c r="G48" s="18">
        <f t="shared" si="0"/>
        <v>0</v>
      </c>
      <c r="H48" s="19">
        <f t="shared" si="1"/>
        <v>0</v>
      </c>
      <c r="I48" s="18">
        <f t="shared" si="2"/>
        <v>0</v>
      </c>
      <c r="J48" s="19">
        <f t="shared" si="3"/>
        <v>0</v>
      </c>
      <c r="L48" s="6" t="s">
        <v>504</v>
      </c>
      <c r="M48" s="20" t="s">
        <v>505</v>
      </c>
      <c r="N48" s="17">
        <f>VLOOKUP(L48,PL!$A:$S,$C$1+3,FALSE)</f>
        <v>0</v>
      </c>
      <c r="O48" s="17">
        <f>VLOOKUP(L48,PL!$A:$S,$C$1+4,FALSE)</f>
        <v>0</v>
      </c>
      <c r="P48" s="17">
        <f>VLOOKUP(L48,PL!$A:$S,$C$1+5,FALSE)</f>
        <v>0</v>
      </c>
      <c r="Q48" s="18">
        <f t="shared" si="4"/>
        <v>0</v>
      </c>
      <c r="R48" s="19">
        <f t="shared" si="5"/>
        <v>0</v>
      </c>
      <c r="S48" s="18">
        <f t="shared" si="6"/>
        <v>0</v>
      </c>
      <c r="T48" s="19">
        <f t="shared" si="7"/>
        <v>0</v>
      </c>
    </row>
    <row r="49" spans="2:20" x14ac:dyDescent="0.4">
      <c r="B49" s="6" t="s">
        <v>110</v>
      </c>
      <c r="C49" s="20" t="s">
        <v>111</v>
      </c>
      <c r="D49" s="17">
        <f>VLOOKUP(B49,BS!$A:$S,18,FALSE)-VLOOKUP(B49,BS!$A:$S,$C$1+5,FALSE)-VLOOKUP(B49,BS!$A:$S,$C$1+4,FALSE)</f>
        <v>7447046.0700000003</v>
      </c>
      <c r="E49" s="17">
        <f>VLOOKUP(B49,BS!$A:$S,18,FALSE)-VLOOKUP(B49,BS!$A:$S,$C$1+5,FALSE)</f>
        <v>7772908.1400000006</v>
      </c>
      <c r="F49" s="17">
        <f>VLOOKUP(B49,BS!$A:$S,18,FALSE)</f>
        <v>8187243.4800000004</v>
      </c>
      <c r="G49" s="18">
        <f t="shared" si="0"/>
        <v>325862.0700000003</v>
      </c>
      <c r="H49" s="19">
        <f t="shared" si="1"/>
        <v>4.3757224936839992E-2</v>
      </c>
      <c r="I49" s="18">
        <f t="shared" si="2"/>
        <v>414335.33999999985</v>
      </c>
      <c r="J49" s="19">
        <f t="shared" si="3"/>
        <v>5.3305060671925017E-2</v>
      </c>
      <c r="L49" s="6" t="s">
        <v>506</v>
      </c>
      <c r="M49" s="20" t="s">
        <v>507</v>
      </c>
      <c r="N49" s="17">
        <f>VLOOKUP(L49,PL!$A:$S,$C$1+3,FALSE)</f>
        <v>312837.84999999998</v>
      </c>
      <c r="O49" s="17">
        <f>VLOOKUP(L49,PL!$A:$S,$C$1+4,FALSE)</f>
        <v>453846.03</v>
      </c>
      <c r="P49" s="17">
        <f>VLOOKUP(L49,PL!$A:$S,$C$1+5,FALSE)</f>
        <v>726350.23</v>
      </c>
      <c r="Q49" s="18">
        <f t="shared" si="4"/>
        <v>141008.18000000005</v>
      </c>
      <c r="R49" s="19">
        <f t="shared" si="5"/>
        <v>0.45073887318941763</v>
      </c>
      <c r="S49" s="18">
        <f t="shared" si="6"/>
        <v>272504.19999999995</v>
      </c>
      <c r="T49" s="19">
        <f t="shared" si="7"/>
        <v>0.60043314689785854</v>
      </c>
    </row>
    <row r="50" spans="2:20" x14ac:dyDescent="0.4">
      <c r="B50" s="6" t="s">
        <v>112</v>
      </c>
      <c r="C50" s="20" t="s">
        <v>113</v>
      </c>
      <c r="D50" s="17">
        <f>VLOOKUP(B50,BS!$A:$S,18,FALSE)-VLOOKUP(B50,BS!$A:$S,$C$1+5,FALSE)-VLOOKUP(B50,BS!$A:$S,$C$1+4,FALSE)</f>
        <v>0</v>
      </c>
      <c r="E50" s="17">
        <f>VLOOKUP(B50,BS!$A:$S,18,FALSE)-VLOOKUP(B50,BS!$A:$S,$C$1+5,FALSE)</f>
        <v>0</v>
      </c>
      <c r="F50" s="17">
        <f>VLOOKUP(B50,BS!$A:$S,18,FALSE)</f>
        <v>0</v>
      </c>
      <c r="G50" s="18">
        <f t="shared" si="0"/>
        <v>0</v>
      </c>
      <c r="H50" s="19">
        <f t="shared" si="1"/>
        <v>0</v>
      </c>
      <c r="I50" s="18">
        <f t="shared" si="2"/>
        <v>0</v>
      </c>
      <c r="J50" s="19">
        <f t="shared" si="3"/>
        <v>0</v>
      </c>
      <c r="L50" s="6" t="s">
        <v>508</v>
      </c>
      <c r="M50" s="20" t="s">
        <v>509</v>
      </c>
      <c r="N50" s="17">
        <f>VLOOKUP(L50,PL!$A:$S,$C$1+3,FALSE)</f>
        <v>0</v>
      </c>
      <c r="O50" s="17">
        <f>VLOOKUP(L50,PL!$A:$S,$C$1+4,FALSE)</f>
        <v>0</v>
      </c>
      <c r="P50" s="17">
        <f>VLOOKUP(L50,PL!$A:$S,$C$1+5,FALSE)</f>
        <v>0</v>
      </c>
      <c r="Q50" s="18">
        <f t="shared" si="4"/>
        <v>0</v>
      </c>
      <c r="R50" s="19">
        <f t="shared" si="5"/>
        <v>0</v>
      </c>
      <c r="S50" s="18">
        <f t="shared" si="6"/>
        <v>0</v>
      </c>
      <c r="T50" s="19">
        <f t="shared" si="7"/>
        <v>0</v>
      </c>
    </row>
    <row r="51" spans="2:20" x14ac:dyDescent="0.4">
      <c r="B51" s="6" t="s">
        <v>114</v>
      </c>
      <c r="C51" s="20" t="s">
        <v>115</v>
      </c>
      <c r="D51" s="17">
        <f>VLOOKUP(B51,BS!$A:$S,18,FALSE)-VLOOKUP(B51,BS!$A:$S,$C$1+5,FALSE)-VLOOKUP(B51,BS!$A:$S,$C$1+4,FALSE)</f>
        <v>0</v>
      </c>
      <c r="E51" s="17">
        <f>VLOOKUP(B51,BS!$A:$S,18,FALSE)-VLOOKUP(B51,BS!$A:$S,$C$1+5,FALSE)</f>
        <v>0</v>
      </c>
      <c r="F51" s="17">
        <f>VLOOKUP(B51,BS!$A:$S,18,FALSE)</f>
        <v>0</v>
      </c>
      <c r="G51" s="18">
        <f t="shared" si="0"/>
        <v>0</v>
      </c>
      <c r="H51" s="19">
        <f t="shared" si="1"/>
        <v>0</v>
      </c>
      <c r="I51" s="18">
        <f t="shared" si="2"/>
        <v>0</v>
      </c>
      <c r="J51" s="19">
        <f t="shared" si="3"/>
        <v>0</v>
      </c>
      <c r="L51" s="6" t="s">
        <v>510</v>
      </c>
      <c r="M51" s="20" t="s">
        <v>511</v>
      </c>
      <c r="N51" s="17">
        <f>VLOOKUP(L51,PL!$A:$S,$C$1+3,FALSE)</f>
        <v>1615171.29</v>
      </c>
      <c r="O51" s="17">
        <f>VLOOKUP(L51,PL!$A:$S,$C$1+4,FALSE)</f>
        <v>2589621.21</v>
      </c>
      <c r="P51" s="17">
        <f>VLOOKUP(L51,PL!$A:$S,$C$1+5,FALSE)</f>
        <v>1065478.81</v>
      </c>
      <c r="Q51" s="18">
        <f t="shared" si="4"/>
        <v>974449.91999999993</v>
      </c>
      <c r="R51" s="19">
        <f t="shared" si="5"/>
        <v>0.60331057518983011</v>
      </c>
      <c r="S51" s="18">
        <f t="shared" si="6"/>
        <v>-1524142.4</v>
      </c>
      <c r="T51" s="19">
        <f t="shared" si="7"/>
        <v>-0.58855804629434583</v>
      </c>
    </row>
    <row r="52" spans="2:20" x14ac:dyDescent="0.4">
      <c r="B52" s="6" t="s">
        <v>116</v>
      </c>
      <c r="C52" s="20" t="s">
        <v>117</v>
      </c>
      <c r="D52" s="17">
        <f>VLOOKUP(B52,BS!$A:$S,18,FALSE)-VLOOKUP(B52,BS!$A:$S,$C$1+5,FALSE)-VLOOKUP(B52,BS!$A:$S,$C$1+4,FALSE)</f>
        <v>0</v>
      </c>
      <c r="E52" s="17">
        <f>VLOOKUP(B52,BS!$A:$S,18,FALSE)-VLOOKUP(B52,BS!$A:$S,$C$1+5,FALSE)</f>
        <v>0</v>
      </c>
      <c r="F52" s="17">
        <f>VLOOKUP(B52,BS!$A:$S,18,FALSE)</f>
        <v>0</v>
      </c>
      <c r="G52" s="18">
        <f t="shared" si="0"/>
        <v>0</v>
      </c>
      <c r="H52" s="19">
        <f t="shared" si="1"/>
        <v>0</v>
      </c>
      <c r="I52" s="18">
        <f t="shared" si="2"/>
        <v>0</v>
      </c>
      <c r="J52" s="19">
        <f t="shared" si="3"/>
        <v>0</v>
      </c>
      <c r="L52" s="6" t="s">
        <v>512</v>
      </c>
      <c r="M52" s="20" t="s">
        <v>513</v>
      </c>
      <c r="N52" s="17">
        <f>VLOOKUP(L52,PL!$A:$S,$C$1+3,FALSE)</f>
        <v>367249.16</v>
      </c>
      <c r="O52" s="17">
        <f>VLOOKUP(L52,PL!$A:$S,$C$1+4,FALSE)</f>
        <v>320725.7</v>
      </c>
      <c r="P52" s="17">
        <f>VLOOKUP(L52,PL!$A:$S,$C$1+5,FALSE)</f>
        <v>357617.79</v>
      </c>
      <c r="Q52" s="18">
        <f t="shared" si="4"/>
        <v>-46523.459999999963</v>
      </c>
      <c r="R52" s="19">
        <f t="shared" si="5"/>
        <v>-0.12668091602986911</v>
      </c>
      <c r="S52" s="18">
        <f t="shared" si="6"/>
        <v>36892.089999999967</v>
      </c>
      <c r="T52" s="19">
        <f t="shared" si="7"/>
        <v>0.11502692175899831</v>
      </c>
    </row>
    <row r="53" spans="2:20" x14ac:dyDescent="0.4">
      <c r="B53" s="15" t="s">
        <v>118</v>
      </c>
      <c r="C53" s="16" t="s">
        <v>119</v>
      </c>
      <c r="D53" s="17">
        <f>VLOOKUP(B53,BS!$A:$S,18,FALSE)-VLOOKUP(B53,BS!$A:$S,$C$1+5,FALSE)-VLOOKUP(B53,BS!$A:$S,$C$1+4,FALSE)</f>
        <v>223338930.28</v>
      </c>
      <c r="E53" s="17">
        <f>VLOOKUP(B53,BS!$A:$S,18,FALSE)-VLOOKUP(B53,BS!$A:$S,$C$1+5,FALSE)</f>
        <v>218846375.40000001</v>
      </c>
      <c r="F53" s="17">
        <f>VLOOKUP(B53,BS!$A:$S,18,FALSE)</f>
        <v>211133076.03999999</v>
      </c>
      <c r="G53" s="18">
        <f t="shared" si="0"/>
        <v>-4492554.8799999952</v>
      </c>
      <c r="H53" s="19">
        <f t="shared" si="1"/>
        <v>-2.0115413261663245E-2</v>
      </c>
      <c r="I53" s="18">
        <f t="shared" si="2"/>
        <v>-7713299.3600000143</v>
      </c>
      <c r="J53" s="19">
        <f t="shared" si="3"/>
        <v>-3.5245268951345006E-2</v>
      </c>
      <c r="L53" s="6" t="s">
        <v>514</v>
      </c>
      <c r="M53" s="20" t="s">
        <v>515</v>
      </c>
      <c r="N53" s="17">
        <f>VLOOKUP(L53,PL!$A:$S,$C$1+3,FALSE)</f>
        <v>996211.92</v>
      </c>
      <c r="O53" s="17">
        <f>VLOOKUP(L53,PL!$A:$S,$C$1+4,FALSE)</f>
        <v>1058966.92</v>
      </c>
      <c r="P53" s="17">
        <f>VLOOKUP(L53,PL!$A:$S,$C$1+5,FALSE)</f>
        <v>1683992.48</v>
      </c>
      <c r="Q53" s="18">
        <f t="shared" si="4"/>
        <v>62754.999999999884</v>
      </c>
      <c r="R53" s="19">
        <f t="shared" si="5"/>
        <v>6.2993624890575375E-2</v>
      </c>
      <c r="S53" s="18">
        <f t="shared" si="6"/>
        <v>625025.56000000006</v>
      </c>
      <c r="T53" s="19">
        <f t="shared" si="7"/>
        <v>0.59022198729304987</v>
      </c>
    </row>
    <row r="54" spans="2:20" x14ac:dyDescent="0.4">
      <c r="B54" s="15" t="s">
        <v>120</v>
      </c>
      <c r="C54" s="16" t="s">
        <v>121</v>
      </c>
      <c r="D54" s="17">
        <f>VLOOKUP(B54,BS!$A:$S,18,FALSE)-VLOOKUP(B54,BS!$A:$S,$C$1+5,FALSE)-VLOOKUP(B54,BS!$A:$S,$C$1+4,FALSE)</f>
        <v>9722223</v>
      </c>
      <c r="E54" s="17">
        <f>VLOOKUP(B54,BS!$A:$S,18,FALSE)-VLOOKUP(B54,BS!$A:$S,$C$1+5,FALSE)</f>
        <v>9444446</v>
      </c>
      <c r="F54" s="17">
        <f>VLOOKUP(B54,BS!$A:$S,18,FALSE)</f>
        <v>9166669</v>
      </c>
      <c r="G54" s="18">
        <f t="shared" si="0"/>
        <v>-277777</v>
      </c>
      <c r="H54" s="19">
        <f t="shared" si="1"/>
        <v>-2.8571346285720868E-2</v>
      </c>
      <c r="I54" s="18">
        <f t="shared" si="2"/>
        <v>-277777</v>
      </c>
      <c r="J54" s="19">
        <f t="shared" si="3"/>
        <v>-2.9411677508664882E-2</v>
      </c>
      <c r="L54" s="6" t="s">
        <v>516</v>
      </c>
      <c r="M54" s="20" t="s">
        <v>517</v>
      </c>
      <c r="N54" s="17">
        <f>VLOOKUP(L54,PL!$A:$S,$C$1+3,FALSE)</f>
        <v>12736443.35</v>
      </c>
      <c r="O54" s="17">
        <f>VLOOKUP(L54,PL!$A:$S,$C$1+4,FALSE)</f>
        <v>12793777.710000001</v>
      </c>
      <c r="P54" s="17">
        <f>VLOOKUP(L54,PL!$A:$S,$C$1+5,FALSE)</f>
        <v>16148527.32</v>
      </c>
      <c r="Q54" s="18">
        <f t="shared" si="4"/>
        <v>57334.360000001267</v>
      </c>
      <c r="R54" s="19">
        <f t="shared" si="5"/>
        <v>4.5015989491290183E-3</v>
      </c>
      <c r="S54" s="18">
        <f t="shared" si="6"/>
        <v>3354749.6099999994</v>
      </c>
      <c r="T54" s="19">
        <f t="shared" si="7"/>
        <v>0.26221728140374256</v>
      </c>
    </row>
    <row r="55" spans="2:20" x14ac:dyDescent="0.4">
      <c r="B55" s="6" t="s">
        <v>122</v>
      </c>
      <c r="C55" s="20" t="s">
        <v>123</v>
      </c>
      <c r="D55" s="17">
        <f>VLOOKUP(B55,BS!$A:$S,18,FALSE)-VLOOKUP(B55,BS!$A:$S,$C$1+5,FALSE)-VLOOKUP(B55,BS!$A:$S,$C$1+4,FALSE)</f>
        <v>0</v>
      </c>
      <c r="E55" s="17">
        <f>VLOOKUP(B55,BS!$A:$S,18,FALSE)-VLOOKUP(B55,BS!$A:$S,$C$1+5,FALSE)</f>
        <v>0</v>
      </c>
      <c r="F55" s="17">
        <f>VLOOKUP(B55,BS!$A:$S,18,FALSE)</f>
        <v>0</v>
      </c>
      <c r="G55" s="18">
        <f t="shared" si="0"/>
        <v>0</v>
      </c>
      <c r="H55" s="19">
        <f t="shared" si="1"/>
        <v>0</v>
      </c>
      <c r="I55" s="18">
        <f t="shared" si="2"/>
        <v>0</v>
      </c>
      <c r="J55" s="19">
        <f t="shared" si="3"/>
        <v>0</v>
      </c>
      <c r="L55" s="6" t="s">
        <v>518</v>
      </c>
      <c r="M55" s="20" t="s">
        <v>519</v>
      </c>
      <c r="N55" s="17">
        <f>VLOOKUP(L55,PL!$A:$S,$C$1+3,FALSE)</f>
        <v>387504.82</v>
      </c>
      <c r="O55" s="17">
        <f>VLOOKUP(L55,PL!$A:$S,$C$1+4,FALSE)</f>
        <v>387504.82</v>
      </c>
      <c r="P55" s="17">
        <f>VLOOKUP(L55,PL!$A:$S,$C$1+5,FALSE)</f>
        <v>387504.82</v>
      </c>
      <c r="Q55" s="18">
        <f t="shared" si="4"/>
        <v>0</v>
      </c>
      <c r="R55" s="19">
        <f t="shared" si="5"/>
        <v>0</v>
      </c>
      <c r="S55" s="18">
        <f t="shared" si="6"/>
        <v>0</v>
      </c>
      <c r="T55" s="19">
        <f t="shared" si="7"/>
        <v>0</v>
      </c>
    </row>
    <row r="56" spans="2:20" x14ac:dyDescent="0.4">
      <c r="B56" s="6" t="s">
        <v>124</v>
      </c>
      <c r="C56" s="20" t="s">
        <v>35</v>
      </c>
      <c r="D56" s="17">
        <f>VLOOKUP(B56,BS!$A:$S,18,FALSE)-VLOOKUP(B56,BS!$A:$S,$C$1+5,FALSE)-VLOOKUP(B56,BS!$A:$S,$C$1+4,FALSE)</f>
        <v>0</v>
      </c>
      <c r="E56" s="17">
        <f>VLOOKUP(B56,BS!$A:$S,18,FALSE)-VLOOKUP(B56,BS!$A:$S,$C$1+5,FALSE)</f>
        <v>0</v>
      </c>
      <c r="F56" s="17">
        <f>VLOOKUP(B56,BS!$A:$S,18,FALSE)</f>
        <v>0</v>
      </c>
      <c r="G56" s="18">
        <f t="shared" si="0"/>
        <v>0</v>
      </c>
      <c r="H56" s="19">
        <f t="shared" si="1"/>
        <v>0</v>
      </c>
      <c r="I56" s="18">
        <f t="shared" si="2"/>
        <v>0</v>
      </c>
      <c r="J56" s="19">
        <f t="shared" si="3"/>
        <v>0</v>
      </c>
      <c r="L56" s="6" t="s">
        <v>520</v>
      </c>
      <c r="M56" s="20" t="s">
        <v>521</v>
      </c>
      <c r="N56" s="17">
        <f>VLOOKUP(L56,PL!$A:$S,$C$1+3,FALSE)</f>
        <v>42931.03</v>
      </c>
      <c r="O56" s="17">
        <f>VLOOKUP(L56,PL!$A:$S,$C$1+4,FALSE)</f>
        <v>0</v>
      </c>
      <c r="P56" s="17">
        <f>VLOOKUP(L56,PL!$A:$S,$C$1+5,FALSE)</f>
        <v>110066</v>
      </c>
      <c r="Q56" s="18">
        <f t="shared" si="4"/>
        <v>-42931.03</v>
      </c>
      <c r="R56" s="19">
        <f t="shared" si="5"/>
        <v>-1</v>
      </c>
      <c r="S56" s="18">
        <f t="shared" si="6"/>
        <v>110066</v>
      </c>
      <c r="T56" s="19">
        <f t="shared" si="7"/>
        <v>0</v>
      </c>
    </row>
    <row r="57" spans="2:20" x14ac:dyDescent="0.4">
      <c r="B57" s="6" t="s">
        <v>125</v>
      </c>
      <c r="C57" s="20" t="s">
        <v>37</v>
      </c>
      <c r="D57" s="17">
        <f>VLOOKUP(B57,BS!$A:$S,18,FALSE)-VLOOKUP(B57,BS!$A:$S,$C$1+5,FALSE)-VLOOKUP(B57,BS!$A:$S,$C$1+4,FALSE)</f>
        <v>0</v>
      </c>
      <c r="E57" s="17">
        <f>VLOOKUP(B57,BS!$A:$S,18,FALSE)-VLOOKUP(B57,BS!$A:$S,$C$1+5,FALSE)</f>
        <v>0</v>
      </c>
      <c r="F57" s="17">
        <f>VLOOKUP(B57,BS!$A:$S,18,FALSE)</f>
        <v>0</v>
      </c>
      <c r="G57" s="18">
        <f t="shared" si="0"/>
        <v>0</v>
      </c>
      <c r="H57" s="19">
        <f t="shared" si="1"/>
        <v>0</v>
      </c>
      <c r="I57" s="18">
        <f t="shared" si="2"/>
        <v>0</v>
      </c>
      <c r="J57" s="19">
        <f t="shared" si="3"/>
        <v>0</v>
      </c>
      <c r="L57" s="6" t="s">
        <v>522</v>
      </c>
      <c r="M57" s="20" t="s">
        <v>523</v>
      </c>
      <c r="N57" s="17">
        <f>VLOOKUP(L57,PL!$A:$S,$C$1+3,FALSE)</f>
        <v>33780</v>
      </c>
      <c r="O57" s="17">
        <f>VLOOKUP(L57,PL!$A:$S,$C$1+4,FALSE)</f>
        <v>37922.410000000003</v>
      </c>
      <c r="P57" s="17">
        <f>VLOOKUP(L57,PL!$A:$S,$C$1+5,FALSE)</f>
        <v>0</v>
      </c>
      <c r="Q57" s="18">
        <f t="shared" si="4"/>
        <v>4142.4100000000035</v>
      </c>
      <c r="R57" s="19">
        <f t="shared" si="5"/>
        <v>0.12262907045589116</v>
      </c>
      <c r="S57" s="18">
        <f t="shared" si="6"/>
        <v>-37922.410000000003</v>
      </c>
      <c r="T57" s="19">
        <f t="shared" si="7"/>
        <v>-1</v>
      </c>
    </row>
    <row r="58" spans="2:20" x14ac:dyDescent="0.4">
      <c r="B58" s="6" t="s">
        <v>126</v>
      </c>
      <c r="C58" s="20" t="s">
        <v>127</v>
      </c>
      <c r="D58" s="17">
        <f>VLOOKUP(B58,BS!$A:$S,18,FALSE)-VLOOKUP(B58,BS!$A:$S,$C$1+5,FALSE)-VLOOKUP(B58,BS!$A:$S,$C$1+4,FALSE)</f>
        <v>0</v>
      </c>
      <c r="E58" s="17">
        <f>VLOOKUP(B58,BS!$A:$S,18,FALSE)-VLOOKUP(B58,BS!$A:$S,$C$1+5,FALSE)</f>
        <v>0</v>
      </c>
      <c r="F58" s="17">
        <f>VLOOKUP(B58,BS!$A:$S,18,FALSE)</f>
        <v>0</v>
      </c>
      <c r="G58" s="18">
        <f t="shared" si="0"/>
        <v>0</v>
      </c>
      <c r="H58" s="19">
        <f t="shared" si="1"/>
        <v>0</v>
      </c>
      <c r="I58" s="18">
        <f t="shared" si="2"/>
        <v>0</v>
      </c>
      <c r="J58" s="19">
        <f t="shared" si="3"/>
        <v>0</v>
      </c>
      <c r="L58" s="6" t="s">
        <v>524</v>
      </c>
      <c r="M58" s="20" t="s">
        <v>525</v>
      </c>
      <c r="N58" s="17">
        <f>VLOOKUP(L58,PL!$A:$S,$C$1+3,FALSE)</f>
        <v>3802677.52</v>
      </c>
      <c r="O58" s="17">
        <f>VLOOKUP(L58,PL!$A:$S,$C$1+4,FALSE)</f>
        <v>3790727.29</v>
      </c>
      <c r="P58" s="17">
        <f>VLOOKUP(L58,PL!$A:$S,$C$1+5,FALSE)</f>
        <v>3766135.15</v>
      </c>
      <c r="Q58" s="18">
        <f t="shared" si="4"/>
        <v>-11950.229999999981</v>
      </c>
      <c r="R58" s="19">
        <f t="shared" si="5"/>
        <v>-3.1425830713091817E-3</v>
      </c>
      <c r="S58" s="18">
        <f t="shared" si="6"/>
        <v>-24592.14000000013</v>
      </c>
      <c r="T58" s="19">
        <f t="shared" si="7"/>
        <v>-6.4874463707464778E-3</v>
      </c>
    </row>
    <row r="59" spans="2:20" x14ac:dyDescent="0.4">
      <c r="B59" s="6" t="s">
        <v>128</v>
      </c>
      <c r="C59" s="20" t="s">
        <v>129</v>
      </c>
      <c r="D59" s="17">
        <f>VLOOKUP(B59,BS!$A:$S,18,FALSE)-VLOOKUP(B59,BS!$A:$S,$C$1+5,FALSE)-VLOOKUP(B59,BS!$A:$S,$C$1+4,FALSE)</f>
        <v>0</v>
      </c>
      <c r="E59" s="17">
        <f>VLOOKUP(B59,BS!$A:$S,18,FALSE)-VLOOKUP(B59,BS!$A:$S,$C$1+5,FALSE)</f>
        <v>0</v>
      </c>
      <c r="F59" s="17">
        <f>VLOOKUP(B59,BS!$A:$S,18,FALSE)</f>
        <v>0</v>
      </c>
      <c r="G59" s="18">
        <f t="shared" si="0"/>
        <v>0</v>
      </c>
      <c r="H59" s="19">
        <f t="shared" si="1"/>
        <v>0</v>
      </c>
      <c r="I59" s="18">
        <f t="shared" si="2"/>
        <v>0</v>
      </c>
      <c r="J59" s="19">
        <f t="shared" si="3"/>
        <v>0</v>
      </c>
      <c r="L59" s="6" t="s">
        <v>526</v>
      </c>
      <c r="M59" s="20" t="s">
        <v>527</v>
      </c>
      <c r="N59" s="17">
        <f>VLOOKUP(L59,PL!$A:$S,$C$1+3,FALSE)</f>
        <v>0</v>
      </c>
      <c r="O59" s="17">
        <f>VLOOKUP(L59,PL!$A:$S,$C$1+4,FALSE)</f>
        <v>0</v>
      </c>
      <c r="P59" s="17">
        <f>VLOOKUP(L59,PL!$A:$S,$C$1+5,FALSE)</f>
        <v>0</v>
      </c>
      <c r="Q59" s="18">
        <f t="shared" si="4"/>
        <v>0</v>
      </c>
      <c r="R59" s="19">
        <f t="shared" si="5"/>
        <v>0</v>
      </c>
      <c r="S59" s="18">
        <f t="shared" si="6"/>
        <v>0</v>
      </c>
      <c r="T59" s="19">
        <f t="shared" si="7"/>
        <v>0</v>
      </c>
    </row>
    <row r="60" spans="2:20" x14ac:dyDescent="0.4">
      <c r="B60" s="6" t="s">
        <v>130</v>
      </c>
      <c r="C60" s="20" t="s">
        <v>131</v>
      </c>
      <c r="D60" s="17">
        <f>VLOOKUP(B60,BS!$A:$S,18,FALSE)-VLOOKUP(B60,BS!$A:$S,$C$1+5,FALSE)-VLOOKUP(B60,BS!$A:$S,$C$1+4,FALSE)</f>
        <v>0</v>
      </c>
      <c r="E60" s="17">
        <f>VLOOKUP(B60,BS!$A:$S,18,FALSE)-VLOOKUP(B60,BS!$A:$S,$C$1+5,FALSE)</f>
        <v>0</v>
      </c>
      <c r="F60" s="17">
        <f>VLOOKUP(B60,BS!$A:$S,18,FALSE)</f>
        <v>0</v>
      </c>
      <c r="G60" s="18">
        <f t="shared" si="0"/>
        <v>0</v>
      </c>
      <c r="H60" s="19">
        <f t="shared" si="1"/>
        <v>0</v>
      </c>
      <c r="I60" s="18">
        <f t="shared" si="2"/>
        <v>0</v>
      </c>
      <c r="J60" s="19">
        <f t="shared" si="3"/>
        <v>0</v>
      </c>
      <c r="L60" s="6" t="s">
        <v>528</v>
      </c>
      <c r="M60" s="20" t="s">
        <v>529</v>
      </c>
      <c r="N60" s="17">
        <f>VLOOKUP(L60,PL!$A:$S,$C$1+3,FALSE)</f>
        <v>22122.59</v>
      </c>
      <c r="O60" s="17">
        <f>VLOOKUP(L60,PL!$A:$S,$C$1+4,FALSE)</f>
        <v>22122.59</v>
      </c>
      <c r="P60" s="17">
        <f>VLOOKUP(L60,PL!$A:$S,$C$1+5,FALSE)</f>
        <v>22122.59</v>
      </c>
      <c r="Q60" s="18">
        <f t="shared" si="4"/>
        <v>0</v>
      </c>
      <c r="R60" s="19">
        <f t="shared" si="5"/>
        <v>0</v>
      </c>
      <c r="S60" s="18">
        <f t="shared" si="6"/>
        <v>0</v>
      </c>
      <c r="T60" s="19">
        <f t="shared" si="7"/>
        <v>0</v>
      </c>
    </row>
    <row r="61" spans="2:20" x14ac:dyDescent="0.4">
      <c r="B61" s="6" t="s">
        <v>132</v>
      </c>
      <c r="C61" s="20" t="s">
        <v>133</v>
      </c>
      <c r="D61" s="17">
        <f>VLOOKUP(B61,BS!$A:$S,18,FALSE)-VLOOKUP(B61,BS!$A:$S,$C$1+5,FALSE)-VLOOKUP(B61,BS!$A:$S,$C$1+4,FALSE)</f>
        <v>9722223</v>
      </c>
      <c r="E61" s="17">
        <f>VLOOKUP(B61,BS!$A:$S,18,FALSE)-VLOOKUP(B61,BS!$A:$S,$C$1+5,FALSE)</f>
        <v>9444446</v>
      </c>
      <c r="F61" s="17">
        <f>VLOOKUP(B61,BS!$A:$S,18,FALSE)</f>
        <v>9166669</v>
      </c>
      <c r="G61" s="18">
        <f t="shared" si="0"/>
        <v>-277777</v>
      </c>
      <c r="H61" s="19">
        <f t="shared" si="1"/>
        <v>-2.8571346285720868E-2</v>
      </c>
      <c r="I61" s="18">
        <f t="shared" si="2"/>
        <v>-277777</v>
      </c>
      <c r="J61" s="19">
        <f t="shared" si="3"/>
        <v>-2.9411677508664882E-2</v>
      </c>
      <c r="L61" s="6" t="s">
        <v>530</v>
      </c>
      <c r="M61" s="20" t="s">
        <v>531</v>
      </c>
      <c r="N61" s="17">
        <f>VLOOKUP(L61,PL!$A:$S,$C$1+3,FALSE)</f>
        <v>232705.44</v>
      </c>
      <c r="O61" s="17">
        <f>VLOOKUP(L61,PL!$A:$S,$C$1+4,FALSE)</f>
        <v>742538.15</v>
      </c>
      <c r="P61" s="17">
        <f>VLOOKUP(L61,PL!$A:$S,$C$1+5,FALSE)</f>
        <v>1273332.79</v>
      </c>
      <c r="Q61" s="18">
        <f t="shared" si="4"/>
        <v>509832.71</v>
      </c>
      <c r="R61" s="19">
        <f t="shared" si="5"/>
        <v>2.1908929589269595</v>
      </c>
      <c r="S61" s="18">
        <f t="shared" si="6"/>
        <v>530794.64</v>
      </c>
      <c r="T61" s="19">
        <f t="shared" si="7"/>
        <v>0.71483820730288405</v>
      </c>
    </row>
    <row r="62" spans="2:20" x14ac:dyDescent="0.4">
      <c r="B62" s="6" t="s">
        <v>134</v>
      </c>
      <c r="C62" s="20" t="s">
        <v>135</v>
      </c>
      <c r="D62" s="17">
        <f>VLOOKUP(B62,BS!$A:$S,18,FALSE)-VLOOKUP(B62,BS!$A:$S,$C$1+5,FALSE)-VLOOKUP(B62,BS!$A:$S,$C$1+4,FALSE)</f>
        <v>0</v>
      </c>
      <c r="E62" s="17">
        <f>VLOOKUP(B62,BS!$A:$S,18,FALSE)-VLOOKUP(B62,BS!$A:$S,$C$1+5,FALSE)</f>
        <v>0</v>
      </c>
      <c r="F62" s="17">
        <f>VLOOKUP(B62,BS!$A:$S,18,FALSE)</f>
        <v>0</v>
      </c>
      <c r="G62" s="18">
        <f t="shared" si="0"/>
        <v>0</v>
      </c>
      <c r="H62" s="19">
        <f t="shared" si="1"/>
        <v>0</v>
      </c>
      <c r="I62" s="18">
        <f t="shared" si="2"/>
        <v>0</v>
      </c>
      <c r="J62" s="19">
        <f t="shared" si="3"/>
        <v>0</v>
      </c>
      <c r="L62" s="6" t="s">
        <v>532</v>
      </c>
      <c r="M62" s="20" t="s">
        <v>533</v>
      </c>
      <c r="N62" s="17">
        <f>VLOOKUP(L62,PL!$A:$S,$C$1+3,FALSE)</f>
        <v>0</v>
      </c>
      <c r="O62" s="17">
        <f>VLOOKUP(L62,PL!$A:$S,$C$1+4,FALSE)</f>
        <v>0</v>
      </c>
      <c r="P62" s="17">
        <f>VLOOKUP(L62,PL!$A:$S,$C$1+5,FALSE)</f>
        <v>0</v>
      </c>
      <c r="Q62" s="18">
        <f t="shared" si="4"/>
        <v>0</v>
      </c>
      <c r="R62" s="19">
        <f t="shared" si="5"/>
        <v>0</v>
      </c>
      <c r="S62" s="18">
        <f t="shared" si="6"/>
        <v>0</v>
      </c>
      <c r="T62" s="19">
        <f t="shared" si="7"/>
        <v>0</v>
      </c>
    </row>
    <row r="63" spans="2:20" x14ac:dyDescent="0.4">
      <c r="B63" s="6" t="s">
        <v>136</v>
      </c>
      <c r="C63" s="20" t="s">
        <v>137</v>
      </c>
      <c r="D63" s="17">
        <f>VLOOKUP(B63,BS!$A:$S,18,FALSE)-VLOOKUP(B63,BS!$A:$S,$C$1+5,FALSE)-VLOOKUP(B63,BS!$A:$S,$C$1+4,FALSE)</f>
        <v>0</v>
      </c>
      <c r="E63" s="17">
        <f>VLOOKUP(B63,BS!$A:$S,18,FALSE)-VLOOKUP(B63,BS!$A:$S,$C$1+5,FALSE)</f>
        <v>0</v>
      </c>
      <c r="F63" s="17">
        <f>VLOOKUP(B63,BS!$A:$S,18,FALSE)</f>
        <v>0</v>
      </c>
      <c r="G63" s="18">
        <f t="shared" si="0"/>
        <v>0</v>
      </c>
      <c r="H63" s="19">
        <f t="shared" si="1"/>
        <v>0</v>
      </c>
      <c r="I63" s="18">
        <f t="shared" si="2"/>
        <v>0</v>
      </c>
      <c r="J63" s="19">
        <f t="shared" si="3"/>
        <v>0</v>
      </c>
      <c r="L63" s="6" t="s">
        <v>534</v>
      </c>
      <c r="M63" s="20" t="s">
        <v>535</v>
      </c>
      <c r="N63" s="17">
        <f>VLOOKUP(L63,PL!$A:$S,$C$1+3,FALSE)</f>
        <v>1558771.5</v>
      </c>
      <c r="O63" s="17">
        <f>VLOOKUP(L63,PL!$A:$S,$C$1+4,FALSE)</f>
        <v>1856462.73</v>
      </c>
      <c r="P63" s="17">
        <f>VLOOKUP(L63,PL!$A:$S,$C$1+5,FALSE)</f>
        <v>1941049.46</v>
      </c>
      <c r="Q63" s="18">
        <f t="shared" si="4"/>
        <v>297691.23</v>
      </c>
      <c r="R63" s="19">
        <f t="shared" si="5"/>
        <v>0.19097810679756461</v>
      </c>
      <c r="S63" s="18">
        <f t="shared" si="6"/>
        <v>84586.729999999981</v>
      </c>
      <c r="T63" s="19">
        <f t="shared" si="7"/>
        <v>4.556338709800007E-2</v>
      </c>
    </row>
    <row r="64" spans="2:20" x14ac:dyDescent="0.4">
      <c r="B64" s="6" t="s">
        <v>138</v>
      </c>
      <c r="C64" s="20" t="s">
        <v>139</v>
      </c>
      <c r="D64" s="17">
        <f>VLOOKUP(B64,BS!$A:$S,18,FALSE)-VLOOKUP(B64,BS!$A:$S,$C$1+5,FALSE)-VLOOKUP(B64,BS!$A:$S,$C$1+4,FALSE)</f>
        <v>0</v>
      </c>
      <c r="E64" s="17">
        <f>VLOOKUP(B64,BS!$A:$S,18,FALSE)-VLOOKUP(B64,BS!$A:$S,$C$1+5,FALSE)</f>
        <v>0</v>
      </c>
      <c r="F64" s="17">
        <f>VLOOKUP(B64,BS!$A:$S,18,FALSE)</f>
        <v>0</v>
      </c>
      <c r="G64" s="18">
        <f t="shared" si="0"/>
        <v>0</v>
      </c>
      <c r="H64" s="19">
        <f t="shared" si="1"/>
        <v>0</v>
      </c>
      <c r="I64" s="18">
        <f t="shared" si="2"/>
        <v>0</v>
      </c>
      <c r="J64" s="19">
        <f t="shared" si="3"/>
        <v>0</v>
      </c>
      <c r="L64" s="6" t="s">
        <v>536</v>
      </c>
      <c r="M64" s="20" t="s">
        <v>537</v>
      </c>
      <c r="N64" s="17">
        <f>VLOOKUP(L64,PL!$A:$S,$C$1+3,FALSE)</f>
        <v>4544181.8600000003</v>
      </c>
      <c r="O64" s="17">
        <f>VLOOKUP(L64,PL!$A:$S,$C$1+4,FALSE)</f>
        <v>1629737.67</v>
      </c>
      <c r="P64" s="17">
        <f>VLOOKUP(L64,PL!$A:$S,$C$1+5,FALSE)</f>
        <v>3201981.05</v>
      </c>
      <c r="Q64" s="18">
        <f t="shared" si="4"/>
        <v>-2914444.1900000004</v>
      </c>
      <c r="R64" s="19">
        <f t="shared" si="5"/>
        <v>-0.64135729594237678</v>
      </c>
      <c r="S64" s="18">
        <f t="shared" si="6"/>
        <v>1572243.38</v>
      </c>
      <c r="T64" s="19">
        <f t="shared" si="7"/>
        <v>0.9647217518142045</v>
      </c>
    </row>
    <row r="65" spans="2:20" x14ac:dyDescent="0.4">
      <c r="B65" s="6" t="s">
        <v>140</v>
      </c>
      <c r="C65" s="20" t="s">
        <v>141</v>
      </c>
      <c r="D65" s="17">
        <f>VLOOKUP(B65,BS!$A:$S,18,FALSE)-VLOOKUP(B65,BS!$A:$S,$C$1+5,FALSE)-VLOOKUP(B65,BS!$A:$S,$C$1+4,FALSE)</f>
        <v>0</v>
      </c>
      <c r="E65" s="17">
        <f>VLOOKUP(B65,BS!$A:$S,18,FALSE)-VLOOKUP(B65,BS!$A:$S,$C$1+5,FALSE)</f>
        <v>0</v>
      </c>
      <c r="F65" s="17">
        <f>VLOOKUP(B65,BS!$A:$S,18,FALSE)</f>
        <v>0</v>
      </c>
      <c r="G65" s="18">
        <f t="shared" si="0"/>
        <v>0</v>
      </c>
      <c r="H65" s="19">
        <f t="shared" si="1"/>
        <v>0</v>
      </c>
      <c r="I65" s="18">
        <f t="shared" si="2"/>
        <v>0</v>
      </c>
      <c r="J65" s="19">
        <f t="shared" si="3"/>
        <v>0</v>
      </c>
      <c r="L65" s="6" t="s">
        <v>538</v>
      </c>
      <c r="M65" s="20" t="s">
        <v>539</v>
      </c>
      <c r="N65" s="17">
        <f>VLOOKUP(L65,PL!$A:$S,$C$1+3,FALSE)</f>
        <v>0</v>
      </c>
      <c r="O65" s="17">
        <f>VLOOKUP(L65,PL!$A:$S,$C$1+4,FALSE)</f>
        <v>0</v>
      </c>
      <c r="P65" s="17">
        <f>VLOOKUP(L65,PL!$A:$S,$C$1+5,FALSE)</f>
        <v>0</v>
      </c>
      <c r="Q65" s="18">
        <f t="shared" si="4"/>
        <v>0</v>
      </c>
      <c r="R65" s="19">
        <f t="shared" si="5"/>
        <v>0</v>
      </c>
      <c r="S65" s="18">
        <f t="shared" si="6"/>
        <v>0</v>
      </c>
      <c r="T65" s="19">
        <f t="shared" si="7"/>
        <v>0</v>
      </c>
    </row>
    <row r="66" spans="2:20" x14ac:dyDescent="0.4">
      <c r="B66" s="6" t="s">
        <v>142</v>
      </c>
      <c r="C66" s="20" t="s">
        <v>143</v>
      </c>
      <c r="D66" s="17">
        <f>VLOOKUP(B66,BS!$A:$S,18,FALSE)-VLOOKUP(B66,BS!$A:$S,$C$1+5,FALSE)-VLOOKUP(B66,BS!$A:$S,$C$1+4,FALSE)</f>
        <v>0</v>
      </c>
      <c r="E66" s="17">
        <f>VLOOKUP(B66,BS!$A:$S,18,FALSE)-VLOOKUP(B66,BS!$A:$S,$C$1+5,FALSE)</f>
        <v>0</v>
      </c>
      <c r="F66" s="17">
        <f>VLOOKUP(B66,BS!$A:$S,18,FALSE)</f>
        <v>0</v>
      </c>
      <c r="G66" s="18">
        <f t="shared" si="0"/>
        <v>0</v>
      </c>
      <c r="H66" s="19">
        <f t="shared" si="1"/>
        <v>0</v>
      </c>
      <c r="I66" s="18">
        <f t="shared" si="2"/>
        <v>0</v>
      </c>
      <c r="J66" s="19">
        <f t="shared" si="3"/>
        <v>0</v>
      </c>
      <c r="L66" s="6" t="s">
        <v>540</v>
      </c>
      <c r="M66" s="20" t="s">
        <v>541</v>
      </c>
      <c r="N66" s="17">
        <f>VLOOKUP(L66,PL!$A:$S,$C$1+3,FALSE)</f>
        <v>0</v>
      </c>
      <c r="O66" s="17">
        <f>VLOOKUP(L66,PL!$A:$S,$C$1+4,FALSE)</f>
        <v>0</v>
      </c>
      <c r="P66" s="17">
        <f>VLOOKUP(L66,PL!$A:$S,$C$1+5,FALSE)</f>
        <v>0</v>
      </c>
      <c r="Q66" s="18">
        <f t="shared" si="4"/>
        <v>0</v>
      </c>
      <c r="R66" s="19">
        <f t="shared" si="5"/>
        <v>0</v>
      </c>
      <c r="S66" s="18">
        <f t="shared" si="6"/>
        <v>0</v>
      </c>
      <c r="T66" s="19">
        <f t="shared" si="7"/>
        <v>0</v>
      </c>
    </row>
    <row r="67" spans="2:20" x14ac:dyDescent="0.4">
      <c r="B67" s="15" t="s">
        <v>144</v>
      </c>
      <c r="C67" s="16" t="s">
        <v>145</v>
      </c>
      <c r="D67" s="17">
        <f>VLOOKUP(B67,BS!$A:$S,18,FALSE)-VLOOKUP(B67,BS!$A:$S,$C$1+5,FALSE)-VLOOKUP(B67,BS!$A:$S,$C$1+4,FALSE)</f>
        <v>191427154.06999999</v>
      </c>
      <c r="E67" s="17">
        <f>VLOOKUP(B67,BS!$A:$S,18,FALSE)-VLOOKUP(B67,BS!$A:$S,$C$1+5,FALSE)</f>
        <v>187783626.78</v>
      </c>
      <c r="F67" s="17">
        <f>VLOOKUP(B67,BS!$A:$S,18,FALSE)</f>
        <v>180370227.00999999</v>
      </c>
      <c r="G67" s="18">
        <f t="shared" si="0"/>
        <v>-3643527.2899999917</v>
      </c>
      <c r="H67" s="19">
        <f t="shared" si="1"/>
        <v>-1.9033492441033979E-2</v>
      </c>
      <c r="I67" s="18">
        <f t="shared" si="2"/>
        <v>-7413399.7700000107</v>
      </c>
      <c r="J67" s="19">
        <f t="shared" si="3"/>
        <v>-3.9478414050897324E-2</v>
      </c>
      <c r="L67" s="6" t="s">
        <v>542</v>
      </c>
      <c r="M67" s="20" t="s">
        <v>543</v>
      </c>
      <c r="N67" s="17">
        <f>VLOOKUP(L67,PL!$A:$S,$C$1+3,FALSE)</f>
        <v>0</v>
      </c>
      <c r="O67" s="17">
        <f>VLOOKUP(L67,PL!$A:$S,$C$1+4,FALSE)</f>
        <v>0</v>
      </c>
      <c r="P67" s="17">
        <f>VLOOKUP(L67,PL!$A:$S,$C$1+5,FALSE)</f>
        <v>0</v>
      </c>
      <c r="Q67" s="18">
        <f t="shared" si="4"/>
        <v>0</v>
      </c>
      <c r="R67" s="19">
        <f t="shared" si="5"/>
        <v>0</v>
      </c>
      <c r="S67" s="18">
        <f t="shared" si="6"/>
        <v>0</v>
      </c>
      <c r="T67" s="19">
        <f t="shared" si="7"/>
        <v>0</v>
      </c>
    </row>
    <row r="68" spans="2:20" x14ac:dyDescent="0.4">
      <c r="B68" s="6" t="s">
        <v>146</v>
      </c>
      <c r="C68" s="20" t="s">
        <v>147</v>
      </c>
      <c r="D68" s="17">
        <f>VLOOKUP(B68,BS!$A:$S,18,FALSE)-VLOOKUP(B68,BS!$A:$S,$C$1+5,FALSE)-VLOOKUP(B68,BS!$A:$S,$C$1+4,FALSE)</f>
        <v>12663333</v>
      </c>
      <c r="E68" s="17">
        <f>VLOOKUP(B68,BS!$A:$S,18,FALSE)-VLOOKUP(B68,BS!$A:$S,$C$1+5,FALSE)</f>
        <v>12663333</v>
      </c>
      <c r="F68" s="17">
        <f>VLOOKUP(B68,BS!$A:$S,18,FALSE)</f>
        <v>12663333</v>
      </c>
      <c r="G68" s="18">
        <f t="shared" si="0"/>
        <v>0</v>
      </c>
      <c r="H68" s="19">
        <f t="shared" si="1"/>
        <v>0</v>
      </c>
      <c r="I68" s="18">
        <f t="shared" si="2"/>
        <v>0</v>
      </c>
      <c r="J68" s="19">
        <f t="shared" si="3"/>
        <v>0</v>
      </c>
      <c r="L68" s="6" t="s">
        <v>544</v>
      </c>
      <c r="M68" s="20" t="s">
        <v>545</v>
      </c>
      <c r="N68" s="17">
        <f>VLOOKUP(L68,PL!$A:$S,$C$1+3,FALSE)</f>
        <v>0</v>
      </c>
      <c r="O68" s="17">
        <f>VLOOKUP(L68,PL!$A:$S,$C$1+4,FALSE)</f>
        <v>0</v>
      </c>
      <c r="P68" s="17">
        <f>VLOOKUP(L68,PL!$A:$S,$C$1+5,FALSE)</f>
        <v>0</v>
      </c>
      <c r="Q68" s="18">
        <f t="shared" si="4"/>
        <v>0</v>
      </c>
      <c r="R68" s="19">
        <f t="shared" si="5"/>
        <v>0</v>
      </c>
      <c r="S68" s="18">
        <f t="shared" si="6"/>
        <v>0</v>
      </c>
      <c r="T68" s="19">
        <f t="shared" si="7"/>
        <v>0</v>
      </c>
    </row>
    <row r="69" spans="2:20" x14ac:dyDescent="0.4">
      <c r="B69" s="6" t="s">
        <v>148</v>
      </c>
      <c r="C69" s="20" t="s">
        <v>149</v>
      </c>
      <c r="D69" s="17">
        <f>VLOOKUP(B69,BS!$A:$S,18,FALSE)-VLOOKUP(B69,BS!$A:$S,$C$1+5,FALSE)-VLOOKUP(B69,BS!$A:$S,$C$1+4,FALSE)</f>
        <v>78836667</v>
      </c>
      <c r="E69" s="17">
        <f>VLOOKUP(B69,BS!$A:$S,18,FALSE)-VLOOKUP(B69,BS!$A:$S,$C$1+5,FALSE)</f>
        <v>78836667</v>
      </c>
      <c r="F69" s="17">
        <f>VLOOKUP(B69,BS!$A:$S,18,FALSE)</f>
        <v>78836667</v>
      </c>
      <c r="G69" s="18">
        <f t="shared" ref="G69:G132" si="22">E69-D69</f>
        <v>0</v>
      </c>
      <c r="H69" s="19">
        <f t="shared" ref="H69:H132" si="23">IFERROR(G69/D69,0)</f>
        <v>0</v>
      </c>
      <c r="I69" s="18">
        <f t="shared" ref="I69:I132" si="24">F69-E69</f>
        <v>0</v>
      </c>
      <c r="J69" s="19">
        <f t="shared" ref="J69:J132" si="25">IFERROR(I69/E69,0)</f>
        <v>0</v>
      </c>
      <c r="L69" s="6" t="s">
        <v>546</v>
      </c>
      <c r="M69" s="20" t="s">
        <v>547</v>
      </c>
      <c r="N69" s="17">
        <f>VLOOKUP(L69,PL!$A:$S,$C$1+3,FALSE)</f>
        <v>36214593.409999996</v>
      </c>
      <c r="O69" s="17">
        <f>VLOOKUP(L69,PL!$A:$S,$C$1+4,FALSE)</f>
        <v>62705670.530000001</v>
      </c>
      <c r="P69" s="17">
        <f>VLOOKUP(L69,PL!$A:$S,$C$1+5,FALSE)</f>
        <v>-11325801.25</v>
      </c>
      <c r="Q69" s="18">
        <f t="shared" si="4"/>
        <v>26491077.120000005</v>
      </c>
      <c r="R69" s="19">
        <f t="shared" si="5"/>
        <v>0.73150281766479752</v>
      </c>
      <c r="S69" s="18">
        <f t="shared" si="6"/>
        <v>-74031471.780000001</v>
      </c>
      <c r="T69" s="19">
        <f t="shared" si="7"/>
        <v>-1.1806184537103617</v>
      </c>
    </row>
    <row r="70" spans="2:20" x14ac:dyDescent="0.4">
      <c r="B70" s="6" t="s">
        <v>150</v>
      </c>
      <c r="C70" s="20" t="s">
        <v>151</v>
      </c>
      <c r="D70" s="17">
        <f>VLOOKUP(B70,BS!$A:$S,18,FALSE)-VLOOKUP(B70,BS!$A:$S,$C$1+5,FALSE)-VLOOKUP(B70,BS!$A:$S,$C$1+4,FALSE)</f>
        <v>-18228967.939999998</v>
      </c>
      <c r="E70" s="17">
        <f>VLOOKUP(B70,BS!$A:$S,18,FALSE)-VLOOKUP(B70,BS!$A:$S,$C$1+5,FALSE)</f>
        <v>-18883173.419999998</v>
      </c>
      <c r="F70" s="17">
        <f>VLOOKUP(B70,BS!$A:$S,18,FALSE)</f>
        <v>-19537378.899999999</v>
      </c>
      <c r="G70" s="18">
        <f t="shared" si="22"/>
        <v>-654205.48000000045</v>
      </c>
      <c r="H70" s="19">
        <f t="shared" si="23"/>
        <v>3.5888234712644983E-2</v>
      </c>
      <c r="I70" s="18">
        <f t="shared" si="24"/>
        <v>-654205.48000000045</v>
      </c>
      <c r="J70" s="19">
        <f t="shared" si="25"/>
        <v>3.4644890742098609E-2</v>
      </c>
      <c r="L70" s="6" t="s">
        <v>548</v>
      </c>
      <c r="M70" s="20" t="s">
        <v>549</v>
      </c>
      <c r="N70" s="17">
        <f>VLOOKUP(L70,PL!$A:$S,$C$1+3,FALSE)</f>
        <v>0</v>
      </c>
      <c r="O70" s="17">
        <f>VLOOKUP(L70,PL!$A:$S,$C$1+4,FALSE)</f>
        <v>0</v>
      </c>
      <c r="P70" s="17">
        <f>VLOOKUP(L70,PL!$A:$S,$C$1+5,FALSE)</f>
        <v>0</v>
      </c>
      <c r="Q70" s="18">
        <f t="shared" si="4"/>
        <v>0</v>
      </c>
      <c r="R70" s="19">
        <f t="shared" si="5"/>
        <v>0</v>
      </c>
      <c r="S70" s="18">
        <f t="shared" si="6"/>
        <v>0</v>
      </c>
      <c r="T70" s="19">
        <f t="shared" si="7"/>
        <v>0</v>
      </c>
    </row>
    <row r="71" spans="2:20" x14ac:dyDescent="0.4">
      <c r="B71" s="6" t="s">
        <v>152</v>
      </c>
      <c r="C71" s="20" t="s">
        <v>153</v>
      </c>
      <c r="D71" s="17">
        <f>VLOOKUP(B71,BS!$A:$S,18,FALSE)-VLOOKUP(B71,BS!$A:$S,$C$1+5,FALSE)-VLOOKUP(B71,BS!$A:$S,$C$1+4,FALSE)</f>
        <v>0</v>
      </c>
      <c r="E71" s="17">
        <f>VLOOKUP(B71,BS!$A:$S,18,FALSE)-VLOOKUP(B71,BS!$A:$S,$C$1+5,FALSE)</f>
        <v>0</v>
      </c>
      <c r="F71" s="17">
        <f>VLOOKUP(B71,BS!$A:$S,18,FALSE)</f>
        <v>0</v>
      </c>
      <c r="G71" s="18">
        <f t="shared" si="22"/>
        <v>0</v>
      </c>
      <c r="H71" s="19">
        <f t="shared" si="23"/>
        <v>0</v>
      </c>
      <c r="I71" s="18">
        <f t="shared" si="24"/>
        <v>0</v>
      </c>
      <c r="J71" s="19">
        <f t="shared" si="25"/>
        <v>0</v>
      </c>
      <c r="L71" s="6" t="s">
        <v>550</v>
      </c>
      <c r="M71" s="20" t="s">
        <v>551</v>
      </c>
      <c r="N71" s="17">
        <f>VLOOKUP(L71,PL!$A:$S,$C$1+3,FALSE)</f>
        <v>0</v>
      </c>
      <c r="O71" s="17">
        <f>VLOOKUP(L71,PL!$A:$S,$C$1+4,FALSE)</f>
        <v>0</v>
      </c>
      <c r="P71" s="17">
        <f>VLOOKUP(L71,PL!$A:$S,$C$1+5,FALSE)</f>
        <v>0</v>
      </c>
      <c r="Q71" s="18">
        <f t="shared" si="4"/>
        <v>0</v>
      </c>
      <c r="R71" s="19">
        <f t="shared" si="5"/>
        <v>0</v>
      </c>
      <c r="S71" s="18">
        <f t="shared" si="6"/>
        <v>0</v>
      </c>
      <c r="T71" s="19">
        <f t="shared" si="7"/>
        <v>0</v>
      </c>
    </row>
    <row r="72" spans="2:20" x14ac:dyDescent="0.4">
      <c r="B72" s="6" t="s">
        <v>154</v>
      </c>
      <c r="C72" s="20" t="s">
        <v>155</v>
      </c>
      <c r="D72" s="17">
        <f>VLOOKUP(B72,BS!$A:$S,18,FALSE)-VLOOKUP(B72,BS!$A:$S,$C$1+5,FALSE)-VLOOKUP(B72,BS!$A:$S,$C$1+4,FALSE)</f>
        <v>0</v>
      </c>
      <c r="E72" s="17">
        <f>VLOOKUP(B72,BS!$A:$S,18,FALSE)-VLOOKUP(B72,BS!$A:$S,$C$1+5,FALSE)</f>
        <v>0</v>
      </c>
      <c r="F72" s="17">
        <f>VLOOKUP(B72,BS!$A:$S,18,FALSE)</f>
        <v>0</v>
      </c>
      <c r="G72" s="18">
        <f t="shared" si="22"/>
        <v>0</v>
      </c>
      <c r="H72" s="19">
        <f t="shared" si="23"/>
        <v>0</v>
      </c>
      <c r="I72" s="18">
        <f t="shared" si="24"/>
        <v>0</v>
      </c>
      <c r="J72" s="19">
        <f t="shared" si="25"/>
        <v>0</v>
      </c>
      <c r="L72" s="6" t="s">
        <v>552</v>
      </c>
      <c r="M72" s="20" t="s">
        <v>553</v>
      </c>
      <c r="N72" s="17">
        <f>VLOOKUP(L72,PL!$A:$S,$C$1+3,FALSE)</f>
        <v>0</v>
      </c>
      <c r="O72" s="17">
        <f>VLOOKUP(L72,PL!$A:$S,$C$1+4,FALSE)</f>
        <v>0</v>
      </c>
      <c r="P72" s="17">
        <f>VLOOKUP(L72,PL!$A:$S,$C$1+5,FALSE)</f>
        <v>0</v>
      </c>
      <c r="Q72" s="18">
        <f t="shared" ref="Q72:Q136" si="26">O72-N72</f>
        <v>0</v>
      </c>
      <c r="R72" s="19">
        <f t="shared" ref="R72:R136" si="27">IFERROR(Q72/N72,0)</f>
        <v>0</v>
      </c>
      <c r="S72" s="18">
        <f t="shared" ref="S72:S136" si="28">P72-O72</f>
        <v>0</v>
      </c>
      <c r="T72" s="19">
        <f t="shared" ref="T72:T136" si="29">IFERROR(S72/O72,0)</f>
        <v>0</v>
      </c>
    </row>
    <row r="73" spans="2:20" x14ac:dyDescent="0.4">
      <c r="B73" s="6" t="s">
        <v>156</v>
      </c>
      <c r="C73" s="20" t="s">
        <v>157</v>
      </c>
      <c r="D73" s="17">
        <f>VLOOKUP(B73,BS!$A:$S,18,FALSE)-VLOOKUP(B73,BS!$A:$S,$C$1+5,FALSE)-VLOOKUP(B73,BS!$A:$S,$C$1+4,FALSE)</f>
        <v>0</v>
      </c>
      <c r="E73" s="17">
        <f>VLOOKUP(B73,BS!$A:$S,18,FALSE)-VLOOKUP(B73,BS!$A:$S,$C$1+5,FALSE)</f>
        <v>0</v>
      </c>
      <c r="F73" s="17">
        <f>VLOOKUP(B73,BS!$A:$S,18,FALSE)</f>
        <v>0</v>
      </c>
      <c r="G73" s="18">
        <f t="shared" si="22"/>
        <v>0</v>
      </c>
      <c r="H73" s="19">
        <f t="shared" si="23"/>
        <v>0</v>
      </c>
      <c r="I73" s="18">
        <f t="shared" si="24"/>
        <v>0</v>
      </c>
      <c r="J73" s="19">
        <f t="shared" si="25"/>
        <v>0</v>
      </c>
      <c r="L73" s="6" t="s">
        <v>554</v>
      </c>
      <c r="M73" s="20" t="s">
        <v>555</v>
      </c>
      <c r="N73" s="17">
        <f>VLOOKUP(L73,PL!$A:$S,$C$1+3,FALSE)</f>
        <v>0</v>
      </c>
      <c r="O73" s="17">
        <f>VLOOKUP(L73,PL!$A:$S,$C$1+4,FALSE)</f>
        <v>0</v>
      </c>
      <c r="P73" s="17">
        <f>VLOOKUP(L73,PL!$A:$S,$C$1+5,FALSE)</f>
        <v>0</v>
      </c>
      <c r="Q73" s="18">
        <f t="shared" si="26"/>
        <v>0</v>
      </c>
      <c r="R73" s="19">
        <f t="shared" si="27"/>
        <v>0</v>
      </c>
      <c r="S73" s="18">
        <f t="shared" si="28"/>
        <v>0</v>
      </c>
      <c r="T73" s="19">
        <f t="shared" si="29"/>
        <v>0</v>
      </c>
    </row>
    <row r="74" spans="2:20" x14ac:dyDescent="0.4">
      <c r="B74" s="6" t="s">
        <v>158</v>
      </c>
      <c r="C74" s="20" t="s">
        <v>159</v>
      </c>
      <c r="D74" s="17">
        <f>VLOOKUP(B74,BS!$A:$S,18,FALSE)-VLOOKUP(B74,BS!$A:$S,$C$1+5,FALSE)-VLOOKUP(B74,BS!$A:$S,$C$1+4,FALSE)</f>
        <v>73573524.079999998</v>
      </c>
      <c r="E74" s="17">
        <f>VLOOKUP(B74,BS!$A:$S,18,FALSE)-VLOOKUP(B74,BS!$A:$S,$C$1+5,FALSE)</f>
        <v>73573524.079999998</v>
      </c>
      <c r="F74" s="17">
        <f>VLOOKUP(B74,BS!$A:$S,18,FALSE)</f>
        <v>73573524.079999998</v>
      </c>
      <c r="G74" s="18">
        <f t="shared" si="22"/>
        <v>0</v>
      </c>
      <c r="H74" s="19">
        <f t="shared" si="23"/>
        <v>0</v>
      </c>
      <c r="I74" s="18">
        <f t="shared" si="24"/>
        <v>0</v>
      </c>
      <c r="J74" s="19">
        <f t="shared" si="25"/>
        <v>0</v>
      </c>
      <c r="L74" s="6" t="s">
        <v>556</v>
      </c>
      <c r="M74" s="20" t="s">
        <v>557</v>
      </c>
      <c r="N74" s="17">
        <f>VLOOKUP(L74,PL!$A:$S,$C$1+3,FALSE)</f>
        <v>0</v>
      </c>
      <c r="O74" s="17">
        <f>VLOOKUP(L74,PL!$A:$S,$C$1+4,FALSE)</f>
        <v>0</v>
      </c>
      <c r="P74" s="17">
        <f>VLOOKUP(L74,PL!$A:$S,$C$1+5,FALSE)</f>
        <v>0</v>
      </c>
      <c r="Q74" s="18">
        <f t="shared" ref="Q74" si="30">O74-N74</f>
        <v>0</v>
      </c>
      <c r="R74" s="19">
        <f t="shared" ref="R74" si="31">IFERROR(Q74/N74,0)</f>
        <v>0</v>
      </c>
      <c r="S74" s="18">
        <f t="shared" ref="S74" si="32">P74-O74</f>
        <v>0</v>
      </c>
      <c r="T74" s="19">
        <f t="shared" ref="T74" si="33">IFERROR(S74/O74,0)</f>
        <v>0</v>
      </c>
    </row>
    <row r="75" spans="2:20" x14ac:dyDescent="0.4">
      <c r="B75" s="6" t="s">
        <v>160</v>
      </c>
      <c r="C75" s="20" t="s">
        <v>161</v>
      </c>
      <c r="D75" s="17">
        <f>VLOOKUP(B75,BS!$A:$S,18,FALSE)-VLOOKUP(B75,BS!$A:$S,$C$1+5,FALSE)-VLOOKUP(B75,BS!$A:$S,$C$1+4,FALSE)</f>
        <v>-13669046.02</v>
      </c>
      <c r="E75" s="17">
        <f>VLOOKUP(B75,BS!$A:$S,18,FALSE)-VLOOKUP(B75,BS!$A:$S,$C$1+5,FALSE)</f>
        <v>-14749345.859999999</v>
      </c>
      <c r="F75" s="17">
        <f>VLOOKUP(B75,BS!$A:$S,18,FALSE)</f>
        <v>-15829645.699999999</v>
      </c>
      <c r="G75" s="18">
        <f t="shared" si="22"/>
        <v>-1080299.8399999999</v>
      </c>
      <c r="H75" s="19">
        <f t="shared" si="23"/>
        <v>7.9032570262719759E-2</v>
      </c>
      <c r="I75" s="18">
        <f t="shared" si="24"/>
        <v>-1080299.8399999999</v>
      </c>
      <c r="J75" s="19">
        <f t="shared" si="25"/>
        <v>7.3243915374562915E-2</v>
      </c>
      <c r="L75" s="6" t="s">
        <v>723</v>
      </c>
      <c r="M75" s="20" t="s">
        <v>724</v>
      </c>
      <c r="N75" s="17">
        <f>VLOOKUP(L75,PL!$A:$S,$C$1+3,FALSE)</f>
        <v>0</v>
      </c>
      <c r="O75" s="17">
        <f>VLOOKUP(L75,PL!$A:$S,$C$1+4,FALSE)</f>
        <v>0</v>
      </c>
      <c r="P75" s="17">
        <f>VLOOKUP(L75,PL!$A:$S,$C$1+5,FALSE)</f>
        <v>0</v>
      </c>
      <c r="Q75" s="18">
        <f t="shared" si="26"/>
        <v>0</v>
      </c>
      <c r="R75" s="19">
        <f t="shared" si="27"/>
        <v>0</v>
      </c>
      <c r="S75" s="18">
        <f t="shared" si="28"/>
        <v>0</v>
      </c>
      <c r="T75" s="19">
        <f t="shared" si="29"/>
        <v>0</v>
      </c>
    </row>
    <row r="76" spans="2:20" x14ac:dyDescent="0.4">
      <c r="B76" s="6" t="s">
        <v>162</v>
      </c>
      <c r="C76" s="20" t="s">
        <v>163</v>
      </c>
      <c r="D76" s="17">
        <f>VLOOKUP(B76,BS!$A:$S,18,FALSE)-VLOOKUP(B76,BS!$A:$S,$C$1+5,FALSE)-VLOOKUP(B76,BS!$A:$S,$C$1+4,FALSE)</f>
        <v>0</v>
      </c>
      <c r="E76" s="17">
        <f>VLOOKUP(B76,BS!$A:$S,18,FALSE)-VLOOKUP(B76,BS!$A:$S,$C$1+5,FALSE)</f>
        <v>0</v>
      </c>
      <c r="F76" s="17">
        <f>VLOOKUP(B76,BS!$A:$S,18,FALSE)</f>
        <v>0</v>
      </c>
      <c r="G76" s="18">
        <f t="shared" si="22"/>
        <v>0</v>
      </c>
      <c r="H76" s="19">
        <f t="shared" si="23"/>
        <v>0</v>
      </c>
      <c r="I76" s="18">
        <f t="shared" si="24"/>
        <v>0</v>
      </c>
      <c r="J76" s="19">
        <f t="shared" si="25"/>
        <v>0</v>
      </c>
      <c r="L76" s="15" t="s">
        <v>558</v>
      </c>
      <c r="M76" s="16" t="s">
        <v>559</v>
      </c>
      <c r="N76" s="17">
        <f>VLOOKUP(L76,PL!$A:$S,$C$1+3,FALSE)</f>
        <v>-77451087.900000006</v>
      </c>
      <c r="O76" s="17">
        <f>VLOOKUP(L76,PL!$A:$S,$C$1+4,FALSE)</f>
        <v>-126067881.90000001</v>
      </c>
      <c r="P76" s="17">
        <f>VLOOKUP(L76,PL!$A:$S,$C$1+5,FALSE)</f>
        <v>-75023007.25</v>
      </c>
      <c r="Q76" s="18">
        <f t="shared" si="26"/>
        <v>-48616794</v>
      </c>
      <c r="R76" s="19">
        <f t="shared" si="27"/>
        <v>0.62770963350148112</v>
      </c>
      <c r="S76" s="18">
        <f t="shared" si="28"/>
        <v>51044874.650000006</v>
      </c>
      <c r="T76" s="19">
        <f t="shared" si="29"/>
        <v>-0.40489991487673282</v>
      </c>
    </row>
    <row r="77" spans="2:20" x14ac:dyDescent="0.4">
      <c r="B77" s="6" t="s">
        <v>164</v>
      </c>
      <c r="C77" s="20" t="s">
        <v>165</v>
      </c>
      <c r="D77" s="17">
        <f>VLOOKUP(B77,BS!$A:$S,18,FALSE)-VLOOKUP(B77,BS!$A:$S,$C$1+5,FALSE)-VLOOKUP(B77,BS!$A:$S,$C$1+4,FALSE)</f>
        <v>0</v>
      </c>
      <c r="E77" s="17">
        <f>VLOOKUP(B77,BS!$A:$S,18,FALSE)-VLOOKUP(B77,BS!$A:$S,$C$1+5,FALSE)</f>
        <v>0</v>
      </c>
      <c r="F77" s="17">
        <f>VLOOKUP(B77,BS!$A:$S,18,FALSE)</f>
        <v>0</v>
      </c>
      <c r="G77" s="18">
        <f t="shared" si="22"/>
        <v>0</v>
      </c>
      <c r="H77" s="19">
        <f t="shared" si="23"/>
        <v>0</v>
      </c>
      <c r="I77" s="18">
        <f t="shared" si="24"/>
        <v>0</v>
      </c>
      <c r="J77" s="19">
        <f t="shared" si="25"/>
        <v>0</v>
      </c>
      <c r="L77" s="15" t="s">
        <v>560</v>
      </c>
      <c r="M77" s="16" t="s">
        <v>561</v>
      </c>
      <c r="N77" s="17">
        <f>VLOOKUP(L77,PL!$A:$S,$C$1+3,FALSE)</f>
        <v>41932933.560000002</v>
      </c>
      <c r="O77" s="17">
        <f>VLOOKUP(L77,PL!$A:$S,$C$1+4,FALSE)</f>
        <v>112892073.31999999</v>
      </c>
      <c r="P77" s="17">
        <f>VLOOKUP(L77,PL!$A:$S,$C$1+5,FALSE)</f>
        <v>59713166.869999997</v>
      </c>
      <c r="Q77" s="18">
        <f t="shared" si="26"/>
        <v>70959139.75999999</v>
      </c>
      <c r="R77" s="19">
        <f t="shared" si="27"/>
        <v>1.6922054751659017</v>
      </c>
      <c r="S77" s="18">
        <f t="shared" si="28"/>
        <v>-53178906.449999996</v>
      </c>
      <c r="T77" s="19">
        <f t="shared" si="29"/>
        <v>-0.47105970229868038</v>
      </c>
    </row>
    <row r="78" spans="2:20" x14ac:dyDescent="0.4">
      <c r="B78" s="6" t="s">
        <v>166</v>
      </c>
      <c r="C78" s="20" t="s">
        <v>167</v>
      </c>
      <c r="D78" s="17">
        <f>VLOOKUP(B78,BS!$A:$S,18,FALSE)-VLOOKUP(B78,BS!$A:$S,$C$1+5,FALSE)-VLOOKUP(B78,BS!$A:$S,$C$1+4,FALSE)</f>
        <v>19178571.43</v>
      </c>
      <c r="E78" s="17">
        <f>VLOOKUP(B78,BS!$A:$S,18,FALSE)-VLOOKUP(B78,BS!$A:$S,$C$1+5,FALSE)</f>
        <v>19178571.43</v>
      </c>
      <c r="F78" s="17">
        <f>VLOOKUP(B78,BS!$A:$S,18,FALSE)</f>
        <v>19178571.43</v>
      </c>
      <c r="G78" s="18">
        <f t="shared" si="22"/>
        <v>0</v>
      </c>
      <c r="H78" s="19">
        <f t="shared" si="23"/>
        <v>0</v>
      </c>
      <c r="I78" s="18">
        <f t="shared" si="24"/>
        <v>0</v>
      </c>
      <c r="J78" s="19">
        <f t="shared" si="25"/>
        <v>0</v>
      </c>
      <c r="L78" s="6" t="s">
        <v>562</v>
      </c>
      <c r="M78" s="20" t="s">
        <v>563</v>
      </c>
      <c r="N78" s="17">
        <f>VLOOKUP(L78,PL!$A:$S,$C$1+3,FALSE)</f>
        <v>0</v>
      </c>
      <c r="O78" s="17">
        <f>VLOOKUP(L78,PL!$A:$S,$C$1+4,FALSE)</f>
        <v>0</v>
      </c>
      <c r="P78" s="17">
        <f>VLOOKUP(L78,PL!$A:$S,$C$1+5,FALSE)</f>
        <v>0</v>
      </c>
      <c r="Q78" s="18">
        <f t="shared" si="26"/>
        <v>0</v>
      </c>
      <c r="R78" s="19">
        <f t="shared" si="27"/>
        <v>0</v>
      </c>
      <c r="S78" s="18">
        <f t="shared" si="28"/>
        <v>0</v>
      </c>
      <c r="T78" s="19">
        <f t="shared" si="29"/>
        <v>0</v>
      </c>
    </row>
    <row r="79" spans="2:20" x14ac:dyDescent="0.4">
      <c r="B79" s="6" t="s">
        <v>168</v>
      </c>
      <c r="C79" s="20" t="s">
        <v>169</v>
      </c>
      <c r="D79" s="17">
        <f>VLOOKUP(B79,BS!$A:$S,18,FALSE)-VLOOKUP(B79,BS!$A:$S,$C$1+5,FALSE)-VLOOKUP(B79,BS!$A:$S,$C$1+4,FALSE)</f>
        <v>-12625892.970000001</v>
      </c>
      <c r="E79" s="17">
        <f>VLOOKUP(B79,BS!$A:$S,18,FALSE)-VLOOKUP(B79,BS!$A:$S,$C$1+5,FALSE)</f>
        <v>-12785714.4</v>
      </c>
      <c r="F79" s="17">
        <f>VLOOKUP(B79,BS!$A:$S,18,FALSE)</f>
        <v>-12945535.83</v>
      </c>
      <c r="G79" s="18">
        <f t="shared" si="22"/>
        <v>-159821.4299999997</v>
      </c>
      <c r="H79" s="19">
        <f t="shared" si="23"/>
        <v>1.2658227848101241E-2</v>
      </c>
      <c r="I79" s="18">
        <f t="shared" si="24"/>
        <v>-159821.4299999997</v>
      </c>
      <c r="J79" s="19">
        <f t="shared" si="25"/>
        <v>1.2499999999999976E-2</v>
      </c>
      <c r="L79" s="6" t="s">
        <v>564</v>
      </c>
      <c r="M79" s="20" t="s">
        <v>565</v>
      </c>
      <c r="N79" s="17">
        <f>VLOOKUP(L79,PL!$A:$S,$C$1+3,FALSE)</f>
        <v>0</v>
      </c>
      <c r="O79" s="17">
        <f>VLOOKUP(L79,PL!$A:$S,$C$1+4,FALSE)</f>
        <v>0</v>
      </c>
      <c r="P79" s="17">
        <f>VLOOKUP(L79,PL!$A:$S,$C$1+5,FALSE)</f>
        <v>0</v>
      </c>
      <c r="Q79" s="18">
        <f t="shared" si="26"/>
        <v>0</v>
      </c>
      <c r="R79" s="19">
        <f t="shared" si="27"/>
        <v>0</v>
      </c>
      <c r="S79" s="18">
        <f t="shared" si="28"/>
        <v>0</v>
      </c>
      <c r="T79" s="19">
        <f t="shared" si="29"/>
        <v>0</v>
      </c>
    </row>
    <row r="80" spans="2:20" x14ac:dyDescent="0.4">
      <c r="B80" s="6" t="s">
        <v>170</v>
      </c>
      <c r="C80" s="20" t="s">
        <v>171</v>
      </c>
      <c r="D80" s="17">
        <f>VLOOKUP(B80,BS!$A:$S,18,FALSE)-VLOOKUP(B80,BS!$A:$S,$C$1+5,FALSE)-VLOOKUP(B80,BS!$A:$S,$C$1+4,FALSE)</f>
        <v>0</v>
      </c>
      <c r="E80" s="17">
        <f>VLOOKUP(B80,BS!$A:$S,18,FALSE)-VLOOKUP(B80,BS!$A:$S,$C$1+5,FALSE)</f>
        <v>0</v>
      </c>
      <c r="F80" s="17">
        <f>VLOOKUP(B80,BS!$A:$S,18,FALSE)</f>
        <v>0</v>
      </c>
      <c r="G80" s="18">
        <f t="shared" si="22"/>
        <v>0</v>
      </c>
      <c r="H80" s="19">
        <f t="shared" si="23"/>
        <v>0</v>
      </c>
      <c r="I80" s="18">
        <f t="shared" si="24"/>
        <v>0</v>
      </c>
      <c r="J80" s="19">
        <f t="shared" si="25"/>
        <v>0</v>
      </c>
      <c r="L80" s="6" t="s">
        <v>566</v>
      </c>
      <c r="M80" s="20" t="s">
        <v>567</v>
      </c>
      <c r="N80" s="17">
        <f>VLOOKUP(L80,PL!$A:$S,$C$1+3,FALSE)</f>
        <v>0</v>
      </c>
      <c r="O80" s="17">
        <f>VLOOKUP(L80,PL!$A:$S,$C$1+4,FALSE)</f>
        <v>0</v>
      </c>
      <c r="P80" s="17">
        <f>VLOOKUP(L80,PL!$A:$S,$C$1+5,FALSE)</f>
        <v>0</v>
      </c>
      <c r="Q80" s="18">
        <f t="shared" si="26"/>
        <v>0</v>
      </c>
      <c r="R80" s="19">
        <f t="shared" si="27"/>
        <v>0</v>
      </c>
      <c r="S80" s="18">
        <f t="shared" si="28"/>
        <v>0</v>
      </c>
      <c r="T80" s="19">
        <f t="shared" si="29"/>
        <v>0</v>
      </c>
    </row>
    <row r="81" spans="2:20" x14ac:dyDescent="0.4">
      <c r="B81" s="6" t="s">
        <v>172</v>
      </c>
      <c r="C81" s="20" t="s">
        <v>173</v>
      </c>
      <c r="D81" s="17">
        <f>VLOOKUP(B81,BS!$A:$S,18,FALSE)-VLOOKUP(B81,BS!$A:$S,$C$1+5,FALSE)-VLOOKUP(B81,BS!$A:$S,$C$1+4,FALSE)</f>
        <v>0</v>
      </c>
      <c r="E81" s="17">
        <f>VLOOKUP(B81,BS!$A:$S,18,FALSE)-VLOOKUP(B81,BS!$A:$S,$C$1+5,FALSE)</f>
        <v>0</v>
      </c>
      <c r="F81" s="17">
        <f>VLOOKUP(B81,BS!$A:$S,18,FALSE)</f>
        <v>0</v>
      </c>
      <c r="G81" s="18">
        <f t="shared" si="22"/>
        <v>0</v>
      </c>
      <c r="H81" s="19">
        <f t="shared" si="23"/>
        <v>0</v>
      </c>
      <c r="I81" s="18">
        <f t="shared" si="24"/>
        <v>0</v>
      </c>
      <c r="J81" s="19">
        <f t="shared" si="25"/>
        <v>0</v>
      </c>
      <c r="L81" s="6" t="s">
        <v>568</v>
      </c>
      <c r="M81" s="20" t="s">
        <v>569</v>
      </c>
      <c r="N81" s="17">
        <f>VLOOKUP(L81,PL!$A:$S,$C$1+3,FALSE)</f>
        <v>0</v>
      </c>
      <c r="O81" s="17">
        <f>VLOOKUP(L81,PL!$A:$S,$C$1+4,FALSE)</f>
        <v>0</v>
      </c>
      <c r="P81" s="17">
        <f>VLOOKUP(L81,PL!$A:$S,$C$1+5,FALSE)</f>
        <v>0</v>
      </c>
      <c r="Q81" s="18">
        <f t="shared" si="26"/>
        <v>0</v>
      </c>
      <c r="R81" s="19">
        <f t="shared" si="27"/>
        <v>0</v>
      </c>
      <c r="S81" s="18">
        <f t="shared" si="28"/>
        <v>0</v>
      </c>
      <c r="T81" s="19">
        <f t="shared" si="29"/>
        <v>0</v>
      </c>
    </row>
    <row r="82" spans="2:20" x14ac:dyDescent="0.4">
      <c r="B82" s="6" t="s">
        <v>174</v>
      </c>
      <c r="C82" s="20" t="s">
        <v>175</v>
      </c>
      <c r="D82" s="17">
        <f>VLOOKUP(B82,BS!$A:$S,18,FALSE)-VLOOKUP(B82,BS!$A:$S,$C$1+5,FALSE)-VLOOKUP(B82,BS!$A:$S,$C$1+4,FALSE)</f>
        <v>0</v>
      </c>
      <c r="E82" s="17">
        <f>VLOOKUP(B82,BS!$A:$S,18,FALSE)-VLOOKUP(B82,BS!$A:$S,$C$1+5,FALSE)</f>
        <v>0</v>
      </c>
      <c r="F82" s="17">
        <f>VLOOKUP(B82,BS!$A:$S,18,FALSE)</f>
        <v>0</v>
      </c>
      <c r="G82" s="18">
        <f t="shared" si="22"/>
        <v>0</v>
      </c>
      <c r="H82" s="19">
        <f t="shared" si="23"/>
        <v>0</v>
      </c>
      <c r="I82" s="18">
        <f t="shared" si="24"/>
        <v>0</v>
      </c>
      <c r="J82" s="19">
        <f t="shared" si="25"/>
        <v>0</v>
      </c>
      <c r="L82" s="6" t="s">
        <v>570</v>
      </c>
      <c r="M82" s="20" t="s">
        <v>571</v>
      </c>
      <c r="N82" s="17">
        <f>VLOOKUP(L82,PL!$A:$S,$C$1+3,FALSE)</f>
        <v>41932933.560000002</v>
      </c>
      <c r="O82" s="17">
        <f>VLOOKUP(L82,PL!$A:$S,$C$1+4,FALSE)</f>
        <v>108028775.23</v>
      </c>
      <c r="P82" s="17">
        <f>VLOOKUP(L82,PL!$A:$S,$C$1+5,FALSE)</f>
        <v>59278160.280000001</v>
      </c>
      <c r="Q82" s="18">
        <f t="shared" si="26"/>
        <v>66095841.670000002</v>
      </c>
      <c r="R82" s="19">
        <f t="shared" si="27"/>
        <v>1.5762274674970296</v>
      </c>
      <c r="S82" s="18">
        <f t="shared" si="28"/>
        <v>-48750614.950000003</v>
      </c>
      <c r="T82" s="19">
        <f t="shared" si="29"/>
        <v>-0.45127434654523207</v>
      </c>
    </row>
    <row r="83" spans="2:20" x14ac:dyDescent="0.4">
      <c r="B83" s="6" t="s">
        <v>176</v>
      </c>
      <c r="C83" s="20" t="s">
        <v>177</v>
      </c>
      <c r="D83" s="17">
        <f>VLOOKUP(B83,BS!$A:$S,18,FALSE)-VLOOKUP(B83,BS!$A:$S,$C$1+5,FALSE)-VLOOKUP(B83,BS!$A:$S,$C$1+4,FALSE)</f>
        <v>121777520.03999999</v>
      </c>
      <c r="E83" s="17">
        <f>VLOOKUP(B83,BS!$A:$S,18,FALSE)-VLOOKUP(B83,BS!$A:$S,$C$1+5,FALSE)</f>
        <v>121924720.03999999</v>
      </c>
      <c r="F83" s="17">
        <f>VLOOKUP(B83,BS!$A:$S,18,FALSE)</f>
        <v>102867753.98999999</v>
      </c>
      <c r="G83" s="18">
        <f t="shared" si="22"/>
        <v>147200</v>
      </c>
      <c r="H83" s="19">
        <f t="shared" si="23"/>
        <v>1.2087616823831652E-3</v>
      </c>
      <c r="I83" s="18">
        <f t="shared" si="24"/>
        <v>-19056966.049999997</v>
      </c>
      <c r="J83" s="19">
        <f t="shared" si="25"/>
        <v>-0.15630108515933402</v>
      </c>
      <c r="L83" s="6" t="s">
        <v>572</v>
      </c>
      <c r="M83" s="20" t="s">
        <v>573</v>
      </c>
      <c r="N83" s="17">
        <f>VLOOKUP(L83,PL!$A:$S,$C$1+3,FALSE)</f>
        <v>0</v>
      </c>
      <c r="O83" s="17">
        <f>VLOOKUP(L83,PL!$A:$S,$C$1+4,FALSE)</f>
        <v>0</v>
      </c>
      <c r="P83" s="17">
        <f>VLOOKUP(L83,PL!$A:$S,$C$1+5,FALSE)</f>
        <v>0</v>
      </c>
      <c r="Q83" s="18">
        <f t="shared" si="26"/>
        <v>0</v>
      </c>
      <c r="R83" s="19">
        <f t="shared" si="27"/>
        <v>0</v>
      </c>
      <c r="S83" s="18">
        <f t="shared" si="28"/>
        <v>0</v>
      </c>
      <c r="T83" s="19">
        <f t="shared" si="29"/>
        <v>0</v>
      </c>
    </row>
    <row r="84" spans="2:20" x14ac:dyDescent="0.4">
      <c r="B84" s="6" t="s">
        <v>178</v>
      </c>
      <c r="C84" s="20" t="s">
        <v>179</v>
      </c>
      <c r="D84" s="17">
        <f>VLOOKUP(B84,BS!$A:$S,18,FALSE)-VLOOKUP(B84,BS!$A:$S,$C$1+5,FALSE)-VLOOKUP(B84,BS!$A:$S,$C$1+4,FALSE)</f>
        <v>-70078554.549999997</v>
      </c>
      <c r="E84" s="17">
        <f>VLOOKUP(B84,BS!$A:$S,18,FALSE)-VLOOKUP(B84,BS!$A:$S,$C$1+5,FALSE)</f>
        <v>-71974955.090000004</v>
      </c>
      <c r="F84" s="17">
        <f>VLOOKUP(B84,BS!$A:$S,18,FALSE)</f>
        <v>-58437062.060000002</v>
      </c>
      <c r="G84" s="18">
        <f t="shared" si="22"/>
        <v>-1896400.5400000066</v>
      </c>
      <c r="H84" s="19">
        <f t="shared" si="23"/>
        <v>2.7061068142422276E-2</v>
      </c>
      <c r="I84" s="18">
        <f t="shared" si="24"/>
        <v>13537893.030000001</v>
      </c>
      <c r="J84" s="19">
        <f t="shared" si="25"/>
        <v>-0.18809171903020636</v>
      </c>
      <c r="K84" s="30">
        <f>(I70+I72+I75+I79+I81+I84+I87+I91)+P58</f>
        <v>15409701.430000002</v>
      </c>
      <c r="L84" s="6" t="s">
        <v>574</v>
      </c>
      <c r="M84" s="20" t="s">
        <v>575</v>
      </c>
      <c r="N84" s="17">
        <f>VLOOKUP(L84,PL!$A:$S,$C$1+3,FALSE)</f>
        <v>0</v>
      </c>
      <c r="O84" s="17">
        <f>VLOOKUP(L84,PL!$A:$S,$C$1+4,FALSE)</f>
        <v>0</v>
      </c>
      <c r="P84" s="17">
        <f>VLOOKUP(L84,PL!$A:$S,$C$1+5,FALSE)</f>
        <v>0</v>
      </c>
      <c r="Q84" s="18">
        <f t="shared" si="26"/>
        <v>0</v>
      </c>
      <c r="R84" s="19">
        <f t="shared" si="27"/>
        <v>0</v>
      </c>
      <c r="S84" s="18">
        <f t="shared" si="28"/>
        <v>0</v>
      </c>
      <c r="T84" s="19">
        <f t="shared" si="29"/>
        <v>0</v>
      </c>
    </row>
    <row r="85" spans="2:20" x14ac:dyDescent="0.4">
      <c r="B85" s="6" t="s">
        <v>180</v>
      </c>
      <c r="C85" s="20" t="s">
        <v>181</v>
      </c>
      <c r="D85" s="17">
        <f>VLOOKUP(B85,BS!$A:$S,18,FALSE)-VLOOKUP(B85,BS!$A:$S,$C$1+5,FALSE)-VLOOKUP(B85,BS!$A:$S,$C$1+4,FALSE)</f>
        <v>0</v>
      </c>
      <c r="E85" s="17">
        <f>VLOOKUP(B85,BS!$A:$S,18,FALSE)-VLOOKUP(B85,BS!$A:$S,$C$1+5,FALSE)</f>
        <v>0</v>
      </c>
      <c r="F85" s="17">
        <f>VLOOKUP(B85,BS!$A:$S,18,FALSE)</f>
        <v>0</v>
      </c>
      <c r="G85" s="18">
        <f t="shared" si="22"/>
        <v>0</v>
      </c>
      <c r="H85" s="19">
        <f t="shared" si="23"/>
        <v>0</v>
      </c>
      <c r="I85" s="18">
        <f t="shared" si="24"/>
        <v>0</v>
      </c>
      <c r="J85" s="19">
        <f t="shared" si="25"/>
        <v>0</v>
      </c>
      <c r="K85" s="31"/>
      <c r="L85" s="6" t="s">
        <v>576</v>
      </c>
      <c r="M85" s="20" t="s">
        <v>577</v>
      </c>
      <c r="N85" s="17">
        <f>VLOOKUP(L85,PL!$A:$S,$C$1+3,FALSE)</f>
        <v>0</v>
      </c>
      <c r="O85" s="17">
        <f>VLOOKUP(L85,PL!$A:$S,$C$1+4,FALSE)</f>
        <v>0</v>
      </c>
      <c r="P85" s="17">
        <f>VLOOKUP(L85,PL!$A:$S,$C$1+5,FALSE)</f>
        <v>0</v>
      </c>
      <c r="Q85" s="18">
        <f t="shared" si="26"/>
        <v>0</v>
      </c>
      <c r="R85" s="19">
        <f t="shared" si="27"/>
        <v>0</v>
      </c>
      <c r="S85" s="18">
        <f t="shared" si="28"/>
        <v>0</v>
      </c>
      <c r="T85" s="19">
        <f t="shared" si="29"/>
        <v>0</v>
      </c>
    </row>
    <row r="86" spans="2:20" x14ac:dyDescent="0.4">
      <c r="B86" s="6" t="s">
        <v>182</v>
      </c>
      <c r="C86" s="20" t="s">
        <v>183</v>
      </c>
      <c r="D86" s="17">
        <f>VLOOKUP(B86,BS!$A:$S,18,FALSE)-VLOOKUP(B86,BS!$A:$S,$C$1+5,FALSE)-VLOOKUP(B86,BS!$A:$S,$C$1+4,FALSE)</f>
        <v>0</v>
      </c>
      <c r="E86" s="17">
        <f>VLOOKUP(B86,BS!$A:$S,18,FALSE)-VLOOKUP(B86,BS!$A:$S,$C$1+5,FALSE)</f>
        <v>0</v>
      </c>
      <c r="F86" s="17">
        <f>VLOOKUP(B86,BS!$A:$S,18,FALSE)</f>
        <v>0</v>
      </c>
      <c r="G86" s="18">
        <f t="shared" si="22"/>
        <v>0</v>
      </c>
      <c r="H86" s="19">
        <f t="shared" si="23"/>
        <v>0</v>
      </c>
      <c r="I86" s="18">
        <f t="shared" si="24"/>
        <v>0</v>
      </c>
      <c r="J86" s="19">
        <f t="shared" si="25"/>
        <v>0</v>
      </c>
      <c r="K86" s="32" t="s">
        <v>727</v>
      </c>
      <c r="L86" s="6" t="s">
        <v>578</v>
      </c>
      <c r="M86" s="20" t="s">
        <v>579</v>
      </c>
      <c r="N86" s="17">
        <f>VLOOKUP(L86,PL!$A:$S,$C$1+3,FALSE)</f>
        <v>0</v>
      </c>
      <c r="O86" s="17">
        <f>VLOOKUP(L86,PL!$A:$S,$C$1+4,FALSE)</f>
        <v>0</v>
      </c>
      <c r="P86" s="17">
        <f>VLOOKUP(L86,PL!$A:$S,$C$1+5,FALSE)</f>
        <v>0</v>
      </c>
      <c r="Q86" s="18">
        <f t="shared" si="26"/>
        <v>0</v>
      </c>
      <c r="R86" s="19">
        <f t="shared" si="27"/>
        <v>0</v>
      </c>
      <c r="S86" s="18">
        <f t="shared" si="28"/>
        <v>0</v>
      </c>
      <c r="T86" s="19">
        <f t="shared" si="29"/>
        <v>0</v>
      </c>
    </row>
    <row r="87" spans="2:20" x14ac:dyDescent="0.4">
      <c r="B87" s="6" t="s">
        <v>184</v>
      </c>
      <c r="C87" s="20" t="s">
        <v>185</v>
      </c>
      <c r="D87" s="17">
        <f>VLOOKUP(B87,BS!$A:$S,18,FALSE)-VLOOKUP(B87,BS!$A:$S,$C$1+5,FALSE)-VLOOKUP(B87,BS!$A:$S,$C$1+4,FALSE)</f>
        <v>0</v>
      </c>
      <c r="E87" s="17">
        <f>VLOOKUP(B87,BS!$A:$S,18,FALSE)-VLOOKUP(B87,BS!$A:$S,$C$1+5,FALSE)</f>
        <v>0</v>
      </c>
      <c r="F87" s="17">
        <f>VLOOKUP(B87,BS!$A:$S,18,FALSE)</f>
        <v>0</v>
      </c>
      <c r="G87" s="18">
        <f t="shared" si="22"/>
        <v>0</v>
      </c>
      <c r="H87" s="19">
        <f t="shared" si="23"/>
        <v>0</v>
      </c>
      <c r="I87" s="18">
        <f t="shared" si="24"/>
        <v>0</v>
      </c>
      <c r="J87" s="19">
        <f t="shared" si="25"/>
        <v>0</v>
      </c>
      <c r="L87" s="6" t="s">
        <v>580</v>
      </c>
      <c r="M87" s="20" t="s">
        <v>581</v>
      </c>
      <c r="N87" s="17">
        <f>VLOOKUP(L87,PL!$A:$S,$C$1+3,FALSE)</f>
        <v>0</v>
      </c>
      <c r="O87" s="17">
        <f>VLOOKUP(L87,PL!$A:$S,$C$1+4,FALSE)</f>
        <v>0</v>
      </c>
      <c r="P87" s="17">
        <f>VLOOKUP(L87,PL!$A:$S,$C$1+5,FALSE)</f>
        <v>0</v>
      </c>
      <c r="Q87" s="18">
        <f t="shared" si="26"/>
        <v>0</v>
      </c>
      <c r="R87" s="19">
        <f t="shared" si="27"/>
        <v>0</v>
      </c>
      <c r="S87" s="18">
        <f t="shared" si="28"/>
        <v>0</v>
      </c>
      <c r="T87" s="19">
        <f t="shared" si="29"/>
        <v>0</v>
      </c>
    </row>
    <row r="88" spans="2:20" x14ac:dyDescent="0.4">
      <c r="B88" s="6" t="s">
        <v>186</v>
      </c>
      <c r="C88" s="20" t="s">
        <v>187</v>
      </c>
      <c r="D88" s="17">
        <f>VLOOKUP(B88,BS!$A:$S,18,FALSE)-VLOOKUP(B88,BS!$A:$S,$C$1+5,FALSE)-VLOOKUP(B88,BS!$A:$S,$C$1+4,FALSE)</f>
        <v>0</v>
      </c>
      <c r="E88" s="17">
        <f>VLOOKUP(B88,BS!$A:$S,18,FALSE)-VLOOKUP(B88,BS!$A:$S,$C$1+5,FALSE)</f>
        <v>0</v>
      </c>
      <c r="F88" s="17">
        <f>VLOOKUP(B88,BS!$A:$S,18,FALSE)</f>
        <v>0</v>
      </c>
      <c r="G88" s="18">
        <f t="shared" si="22"/>
        <v>0</v>
      </c>
      <c r="H88" s="19">
        <f t="shared" si="23"/>
        <v>0</v>
      </c>
      <c r="I88" s="18">
        <f t="shared" si="24"/>
        <v>0</v>
      </c>
      <c r="J88" s="19">
        <f t="shared" si="25"/>
        <v>0</v>
      </c>
      <c r="L88" s="6" t="s">
        <v>582</v>
      </c>
      <c r="M88" s="20" t="s">
        <v>583</v>
      </c>
      <c r="N88" s="17">
        <f>VLOOKUP(L88,PL!$A:$S,$C$1+3,FALSE)</f>
        <v>0</v>
      </c>
      <c r="O88" s="17">
        <f>VLOOKUP(L88,PL!$A:$S,$C$1+4,FALSE)</f>
        <v>0</v>
      </c>
      <c r="P88" s="17">
        <f>VLOOKUP(L88,PL!$A:$S,$C$1+5,FALSE)</f>
        <v>0</v>
      </c>
      <c r="Q88" s="18">
        <f t="shared" si="26"/>
        <v>0</v>
      </c>
      <c r="R88" s="19">
        <f t="shared" si="27"/>
        <v>0</v>
      </c>
      <c r="S88" s="18">
        <f t="shared" si="28"/>
        <v>0</v>
      </c>
      <c r="T88" s="19">
        <f t="shared" si="29"/>
        <v>0</v>
      </c>
    </row>
    <row r="89" spans="2:20" x14ac:dyDescent="0.4">
      <c r="B89" s="6" t="s">
        <v>188</v>
      </c>
      <c r="C89" s="20" t="s">
        <v>189</v>
      </c>
      <c r="D89" s="17">
        <f>VLOOKUP(B89,BS!$A:$S,18,FALSE)-VLOOKUP(B89,BS!$A:$S,$C$1+5,FALSE)-VLOOKUP(B89,BS!$A:$S,$C$1+4,FALSE)</f>
        <v>0</v>
      </c>
      <c r="E89" s="17">
        <f>VLOOKUP(B89,BS!$A:$S,18,FALSE)-VLOOKUP(B89,BS!$A:$S,$C$1+5,FALSE)</f>
        <v>0</v>
      </c>
      <c r="F89" s="17">
        <f>VLOOKUP(B89,BS!$A:$S,18,FALSE)</f>
        <v>0</v>
      </c>
      <c r="G89" s="18">
        <f t="shared" si="22"/>
        <v>0</v>
      </c>
      <c r="H89" s="19">
        <f t="shared" si="23"/>
        <v>0</v>
      </c>
      <c r="I89" s="18">
        <f t="shared" si="24"/>
        <v>0</v>
      </c>
      <c r="J89" s="19">
        <f t="shared" si="25"/>
        <v>0</v>
      </c>
      <c r="L89" s="6" t="s">
        <v>584</v>
      </c>
      <c r="M89" s="20" t="s">
        <v>585</v>
      </c>
      <c r="N89" s="17">
        <f>VLOOKUP(L89,PL!$A:$S,$C$1+3,FALSE)</f>
        <v>0</v>
      </c>
      <c r="O89" s="17">
        <f>VLOOKUP(L89,PL!$A:$S,$C$1+4,FALSE)</f>
        <v>0</v>
      </c>
      <c r="P89" s="17">
        <f>VLOOKUP(L89,PL!$A:$S,$C$1+5,FALSE)</f>
        <v>0</v>
      </c>
      <c r="Q89" s="18">
        <f t="shared" si="26"/>
        <v>0</v>
      </c>
      <c r="R89" s="19">
        <f t="shared" si="27"/>
        <v>0</v>
      </c>
      <c r="S89" s="18">
        <f t="shared" si="28"/>
        <v>0</v>
      </c>
      <c r="T89" s="19">
        <f t="shared" si="29"/>
        <v>0</v>
      </c>
    </row>
    <row r="90" spans="2:20" x14ac:dyDescent="0.4">
      <c r="B90" s="6" t="s">
        <v>190</v>
      </c>
      <c r="C90" s="20" t="s">
        <v>191</v>
      </c>
      <c r="D90" s="17">
        <f>VLOOKUP(B90,BS!$A:$S,18,FALSE)-VLOOKUP(B90,BS!$A:$S,$C$1+5,FALSE)-VLOOKUP(B90,BS!$A:$S,$C$1+4,FALSE)</f>
        <v>0</v>
      </c>
      <c r="E90" s="17">
        <f>VLOOKUP(B90,BS!$A:$S,18,FALSE)-VLOOKUP(B90,BS!$A:$S,$C$1+5,FALSE)</f>
        <v>0</v>
      </c>
      <c r="F90" s="17">
        <f>VLOOKUP(B90,BS!$A:$S,18,FALSE)</f>
        <v>0</v>
      </c>
      <c r="G90" s="18">
        <f t="shared" si="22"/>
        <v>0</v>
      </c>
      <c r="H90" s="19">
        <f t="shared" si="23"/>
        <v>0</v>
      </c>
      <c r="I90" s="18">
        <f t="shared" si="24"/>
        <v>0</v>
      </c>
      <c r="J90" s="19">
        <f t="shared" si="25"/>
        <v>0</v>
      </c>
      <c r="K90" s="31"/>
      <c r="L90" s="6" t="s">
        <v>586</v>
      </c>
      <c r="M90" s="20" t="s">
        <v>587</v>
      </c>
      <c r="N90" s="17">
        <f>VLOOKUP(L90,PL!$A:$S,$C$1+3,FALSE)</f>
        <v>0</v>
      </c>
      <c r="O90" s="17">
        <f>VLOOKUP(L90,PL!$A:$S,$C$1+4,FALSE)</f>
        <v>0</v>
      </c>
      <c r="P90" s="17">
        <f>VLOOKUP(L90,PL!$A:$S,$C$1+5,FALSE)</f>
        <v>0</v>
      </c>
      <c r="Q90" s="18">
        <f t="shared" si="26"/>
        <v>0</v>
      </c>
      <c r="R90" s="19">
        <f t="shared" si="27"/>
        <v>0</v>
      </c>
      <c r="S90" s="18">
        <f t="shared" si="28"/>
        <v>0</v>
      </c>
      <c r="T90" s="19">
        <f t="shared" si="29"/>
        <v>0</v>
      </c>
    </row>
    <row r="91" spans="2:20" x14ac:dyDescent="0.4">
      <c r="B91" s="6" t="s">
        <v>192</v>
      </c>
      <c r="C91" s="20" t="s">
        <v>193</v>
      </c>
      <c r="D91" s="17">
        <f>VLOOKUP(B91,BS!$A:$S,18,FALSE)-VLOOKUP(B91,BS!$A:$S,$C$1+5,FALSE)-VLOOKUP(B91,BS!$A:$S,$C$1+4,FALSE)</f>
        <v>0</v>
      </c>
      <c r="E91" s="17">
        <f>VLOOKUP(B91,BS!$A:$S,18,FALSE)-VLOOKUP(B91,BS!$A:$S,$C$1+5,FALSE)</f>
        <v>0</v>
      </c>
      <c r="F91" s="17">
        <f>VLOOKUP(B91,BS!$A:$S,18,FALSE)</f>
        <v>0</v>
      </c>
      <c r="G91" s="18">
        <f t="shared" si="22"/>
        <v>0</v>
      </c>
      <c r="H91" s="19">
        <f t="shared" si="23"/>
        <v>0</v>
      </c>
      <c r="I91" s="18">
        <f t="shared" si="24"/>
        <v>0</v>
      </c>
      <c r="J91" s="19">
        <f t="shared" si="25"/>
        <v>0</v>
      </c>
      <c r="K91" s="32" t="s">
        <v>727</v>
      </c>
      <c r="L91" s="6" t="s">
        <v>588</v>
      </c>
      <c r="M91" s="20" t="s">
        <v>589</v>
      </c>
      <c r="N91" s="17">
        <f>VLOOKUP(L91,PL!$A:$S,$C$1+3,FALSE)</f>
        <v>0</v>
      </c>
      <c r="O91" s="17">
        <f>VLOOKUP(L91,PL!$A:$S,$C$1+4,FALSE)</f>
        <v>0</v>
      </c>
      <c r="P91" s="17">
        <f>VLOOKUP(L91,PL!$A:$S,$C$1+5,FALSE)</f>
        <v>0</v>
      </c>
      <c r="Q91" s="18">
        <f t="shared" si="26"/>
        <v>0</v>
      </c>
      <c r="R91" s="19">
        <f t="shared" si="27"/>
        <v>0</v>
      </c>
      <c r="S91" s="18">
        <f t="shared" si="28"/>
        <v>0</v>
      </c>
      <c r="T91" s="19">
        <f t="shared" si="29"/>
        <v>0</v>
      </c>
    </row>
    <row r="92" spans="2:20" x14ac:dyDescent="0.4">
      <c r="B92" s="6" t="s">
        <v>194</v>
      </c>
      <c r="C92" s="20" t="s">
        <v>195</v>
      </c>
      <c r="D92" s="17">
        <f>VLOOKUP(B92,BS!$A:$S,18,FALSE)-VLOOKUP(B92,BS!$A:$S,$C$1+5,FALSE)-VLOOKUP(B92,BS!$A:$S,$C$1+4,FALSE)</f>
        <v>0</v>
      </c>
      <c r="E92" s="17">
        <f>VLOOKUP(B92,BS!$A:$S,18,FALSE)-VLOOKUP(B92,BS!$A:$S,$C$1+5,FALSE)</f>
        <v>0</v>
      </c>
      <c r="F92" s="17">
        <f>VLOOKUP(B92,BS!$A:$S,18,FALSE)</f>
        <v>0</v>
      </c>
      <c r="G92" s="18">
        <f t="shared" si="22"/>
        <v>0</v>
      </c>
      <c r="H92" s="19">
        <f t="shared" si="23"/>
        <v>0</v>
      </c>
      <c r="I92" s="18">
        <f t="shared" si="24"/>
        <v>0</v>
      </c>
      <c r="J92" s="19">
        <f t="shared" si="25"/>
        <v>0</v>
      </c>
      <c r="L92" s="6" t="s">
        <v>590</v>
      </c>
      <c r="M92" s="20" t="s">
        <v>591</v>
      </c>
      <c r="N92" s="17">
        <f>VLOOKUP(L92,PL!$A:$S,$C$1+3,FALSE)</f>
        <v>0</v>
      </c>
      <c r="O92" s="17">
        <f>VLOOKUP(L92,PL!$A:$S,$C$1+4,FALSE)</f>
        <v>0</v>
      </c>
      <c r="P92" s="17">
        <f>VLOOKUP(L92,PL!$A:$S,$C$1+5,FALSE)</f>
        <v>0</v>
      </c>
      <c r="Q92" s="18">
        <f t="shared" si="26"/>
        <v>0</v>
      </c>
      <c r="R92" s="19">
        <f t="shared" si="27"/>
        <v>0</v>
      </c>
      <c r="S92" s="18">
        <f t="shared" si="28"/>
        <v>0</v>
      </c>
      <c r="T92" s="19">
        <f t="shared" si="29"/>
        <v>0</v>
      </c>
    </row>
    <row r="93" spans="2:20" x14ac:dyDescent="0.4">
      <c r="B93" s="6" t="s">
        <v>196</v>
      </c>
      <c r="C93" s="20" t="s">
        <v>197</v>
      </c>
      <c r="D93" s="17">
        <f>VLOOKUP(B93,BS!$A:$S,18,FALSE)-VLOOKUP(B93,BS!$A:$S,$C$1+5,FALSE)-VLOOKUP(B93,BS!$A:$S,$C$1+4,FALSE)</f>
        <v>0</v>
      </c>
      <c r="E93" s="17">
        <f>VLOOKUP(B93,BS!$A:$S,18,FALSE)-VLOOKUP(B93,BS!$A:$S,$C$1+5,FALSE)</f>
        <v>0</v>
      </c>
      <c r="F93" s="17">
        <f>VLOOKUP(B93,BS!$A:$S,18,FALSE)</f>
        <v>0</v>
      </c>
      <c r="G93" s="18">
        <f t="shared" si="22"/>
        <v>0</v>
      </c>
      <c r="H93" s="19">
        <f t="shared" si="23"/>
        <v>0</v>
      </c>
      <c r="I93" s="18">
        <f t="shared" si="24"/>
        <v>0</v>
      </c>
      <c r="J93" s="19">
        <f t="shared" si="25"/>
        <v>0</v>
      </c>
      <c r="L93" s="6" t="s">
        <v>592</v>
      </c>
      <c r="M93" s="20" t="s">
        <v>593</v>
      </c>
      <c r="N93" s="17">
        <f>VLOOKUP(L93,PL!$A:$S,$C$1+3,FALSE)</f>
        <v>0</v>
      </c>
      <c r="O93" s="17">
        <f>VLOOKUP(L93,PL!$A:$S,$C$1+4,FALSE)</f>
        <v>0</v>
      </c>
      <c r="P93" s="17">
        <f>VLOOKUP(L93,PL!$A:$S,$C$1+5,FALSE)</f>
        <v>0</v>
      </c>
      <c r="Q93" s="18">
        <f t="shared" si="26"/>
        <v>0</v>
      </c>
      <c r="R93" s="19">
        <f t="shared" si="27"/>
        <v>0</v>
      </c>
      <c r="S93" s="18">
        <f t="shared" si="28"/>
        <v>0</v>
      </c>
      <c r="T93" s="19">
        <f t="shared" si="29"/>
        <v>0</v>
      </c>
    </row>
    <row r="94" spans="2:20" x14ac:dyDescent="0.4">
      <c r="B94" s="6" t="s">
        <v>198</v>
      </c>
      <c r="C94" s="20" t="s">
        <v>199</v>
      </c>
      <c r="D94" s="17">
        <f>VLOOKUP(B94,BS!$A:$S,18,FALSE)-VLOOKUP(B94,BS!$A:$S,$C$1+5,FALSE)-VLOOKUP(B94,BS!$A:$S,$C$1+4,FALSE)</f>
        <v>0</v>
      </c>
      <c r="E94" s="17">
        <f>VLOOKUP(B94,BS!$A:$S,18,FALSE)-VLOOKUP(B94,BS!$A:$S,$C$1+5,FALSE)</f>
        <v>0</v>
      </c>
      <c r="F94" s="17">
        <f>VLOOKUP(B94,BS!$A:$S,18,FALSE)</f>
        <v>0</v>
      </c>
      <c r="G94" s="18">
        <f t="shared" si="22"/>
        <v>0</v>
      </c>
      <c r="H94" s="19">
        <f t="shared" si="23"/>
        <v>0</v>
      </c>
      <c r="I94" s="18">
        <f t="shared" si="24"/>
        <v>0</v>
      </c>
      <c r="J94" s="19">
        <f t="shared" si="25"/>
        <v>0</v>
      </c>
      <c r="L94" s="6" t="s">
        <v>594</v>
      </c>
      <c r="M94" s="20" t="s">
        <v>595</v>
      </c>
      <c r="N94" s="17">
        <f>VLOOKUP(L94,PL!$A:$S,$C$1+3,FALSE)</f>
        <v>0</v>
      </c>
      <c r="O94" s="17">
        <f>VLOOKUP(L94,PL!$A:$S,$C$1+4,FALSE)</f>
        <v>0</v>
      </c>
      <c r="P94" s="17">
        <f>VLOOKUP(L94,PL!$A:$S,$C$1+5,FALSE)</f>
        <v>0</v>
      </c>
      <c r="Q94" s="18">
        <f t="shared" si="26"/>
        <v>0</v>
      </c>
      <c r="R94" s="19">
        <f t="shared" si="27"/>
        <v>0</v>
      </c>
      <c r="S94" s="18">
        <f t="shared" si="28"/>
        <v>0</v>
      </c>
      <c r="T94" s="19">
        <f t="shared" si="29"/>
        <v>0</v>
      </c>
    </row>
    <row r="95" spans="2:20" x14ac:dyDescent="0.4">
      <c r="B95" s="6" t="s">
        <v>200</v>
      </c>
      <c r="C95" s="20" t="s">
        <v>201</v>
      </c>
      <c r="D95" s="17">
        <f>VLOOKUP(B95,BS!$A:$S,18,FALSE)-VLOOKUP(B95,BS!$A:$S,$C$1+5,FALSE)-VLOOKUP(B95,BS!$A:$S,$C$1+4,FALSE)</f>
        <v>0</v>
      </c>
      <c r="E95" s="17">
        <f>VLOOKUP(B95,BS!$A:$S,18,FALSE)-VLOOKUP(B95,BS!$A:$S,$C$1+5,FALSE)</f>
        <v>0</v>
      </c>
      <c r="F95" s="17">
        <f>VLOOKUP(B95,BS!$A:$S,18,FALSE)</f>
        <v>0</v>
      </c>
      <c r="G95" s="18">
        <f t="shared" si="22"/>
        <v>0</v>
      </c>
      <c r="H95" s="19">
        <f t="shared" si="23"/>
        <v>0</v>
      </c>
      <c r="I95" s="18">
        <f t="shared" si="24"/>
        <v>0</v>
      </c>
      <c r="J95" s="19">
        <f t="shared" si="25"/>
        <v>0</v>
      </c>
      <c r="L95" s="6" t="s">
        <v>596</v>
      </c>
      <c r="M95" s="20" t="s">
        <v>597</v>
      </c>
      <c r="N95" s="17">
        <f>VLOOKUP(L95,PL!$A:$S,$C$1+3,FALSE)</f>
        <v>0</v>
      </c>
      <c r="O95" s="17">
        <f>VLOOKUP(L95,PL!$A:$S,$C$1+4,FALSE)</f>
        <v>0</v>
      </c>
      <c r="P95" s="17">
        <f>VLOOKUP(L95,PL!$A:$S,$C$1+5,FALSE)</f>
        <v>0</v>
      </c>
      <c r="Q95" s="18">
        <f t="shared" si="26"/>
        <v>0</v>
      </c>
      <c r="R95" s="19">
        <f t="shared" si="27"/>
        <v>0</v>
      </c>
      <c r="S95" s="18">
        <f t="shared" si="28"/>
        <v>0</v>
      </c>
      <c r="T95" s="19">
        <f t="shared" si="29"/>
        <v>0</v>
      </c>
    </row>
    <row r="96" spans="2:20" x14ac:dyDescent="0.4">
      <c r="B96" s="6" t="s">
        <v>202</v>
      </c>
      <c r="C96" s="20" t="s">
        <v>203</v>
      </c>
      <c r="D96" s="17">
        <f>VLOOKUP(B96,BS!$A:$S,18,FALSE)-VLOOKUP(B96,BS!$A:$S,$C$1+5,FALSE)-VLOOKUP(B96,BS!$A:$S,$C$1+4,FALSE)</f>
        <v>0</v>
      </c>
      <c r="E96" s="17">
        <f>VLOOKUP(B96,BS!$A:$S,18,FALSE)-VLOOKUP(B96,BS!$A:$S,$C$1+5,FALSE)</f>
        <v>0</v>
      </c>
      <c r="F96" s="17">
        <f>VLOOKUP(B96,BS!$A:$S,18,FALSE)</f>
        <v>0</v>
      </c>
      <c r="G96" s="18">
        <f t="shared" si="22"/>
        <v>0</v>
      </c>
      <c r="H96" s="19">
        <f t="shared" si="23"/>
        <v>0</v>
      </c>
      <c r="I96" s="18">
        <f t="shared" si="24"/>
        <v>0</v>
      </c>
      <c r="J96" s="19">
        <f t="shared" si="25"/>
        <v>0</v>
      </c>
      <c r="K96" s="30">
        <f>I96+P59</f>
        <v>0</v>
      </c>
      <c r="L96" s="6" t="s">
        <v>598</v>
      </c>
      <c r="M96" s="20" t="s">
        <v>599</v>
      </c>
      <c r="N96" s="17">
        <f>VLOOKUP(L96,PL!$A:$S,$C$1+3,FALSE)</f>
        <v>0</v>
      </c>
      <c r="O96" s="17">
        <f>VLOOKUP(L96,PL!$A:$S,$C$1+4,FALSE)</f>
        <v>0</v>
      </c>
      <c r="P96" s="17">
        <f>VLOOKUP(L96,PL!$A:$S,$C$1+5,FALSE)</f>
        <v>0</v>
      </c>
      <c r="Q96" s="18">
        <f t="shared" si="26"/>
        <v>0</v>
      </c>
      <c r="R96" s="19">
        <f t="shared" si="27"/>
        <v>0</v>
      </c>
      <c r="S96" s="18">
        <f t="shared" si="28"/>
        <v>0</v>
      </c>
      <c r="T96" s="19">
        <f t="shared" si="29"/>
        <v>0</v>
      </c>
    </row>
    <row r="97" spans="2:21" x14ac:dyDescent="0.4">
      <c r="B97" s="6" t="s">
        <v>204</v>
      </c>
      <c r="C97" s="20" t="s">
        <v>205</v>
      </c>
      <c r="D97" s="17">
        <f>VLOOKUP(B97,BS!$A:$S,18,FALSE)-VLOOKUP(B97,BS!$A:$S,$C$1+5,FALSE)-VLOOKUP(B97,BS!$A:$S,$C$1+4,FALSE)</f>
        <v>0</v>
      </c>
      <c r="E97" s="17">
        <f>VLOOKUP(B97,BS!$A:$S,18,FALSE)-VLOOKUP(B97,BS!$A:$S,$C$1+5,FALSE)</f>
        <v>0</v>
      </c>
      <c r="F97" s="17">
        <f>VLOOKUP(B97,BS!$A:$S,18,FALSE)</f>
        <v>0</v>
      </c>
      <c r="G97" s="18">
        <f t="shared" si="22"/>
        <v>0</v>
      </c>
      <c r="H97" s="19">
        <f t="shared" si="23"/>
        <v>0</v>
      </c>
      <c r="I97" s="18">
        <f t="shared" si="24"/>
        <v>0</v>
      </c>
      <c r="J97" s="19">
        <f t="shared" si="25"/>
        <v>0</v>
      </c>
      <c r="L97" s="6" t="s">
        <v>600</v>
      </c>
      <c r="M97" s="20" t="s">
        <v>601</v>
      </c>
      <c r="N97" s="17">
        <f>VLOOKUP(L97,PL!$A:$S,$C$1+3,FALSE)</f>
        <v>0</v>
      </c>
      <c r="O97" s="17">
        <f>VLOOKUP(L97,PL!$A:$S,$C$1+4,FALSE)</f>
        <v>0</v>
      </c>
      <c r="P97" s="17">
        <f>VLOOKUP(L97,PL!$A:$S,$C$1+5,FALSE)</f>
        <v>0</v>
      </c>
      <c r="Q97" s="18">
        <f t="shared" si="26"/>
        <v>0</v>
      </c>
      <c r="R97" s="19">
        <f t="shared" si="27"/>
        <v>0</v>
      </c>
      <c r="S97" s="18">
        <f t="shared" si="28"/>
        <v>0</v>
      </c>
      <c r="T97" s="19">
        <f t="shared" si="29"/>
        <v>0</v>
      </c>
    </row>
    <row r="98" spans="2:21" x14ac:dyDescent="0.4">
      <c r="B98" s="6" t="s">
        <v>206</v>
      </c>
      <c r="C98" s="20" t="s">
        <v>207</v>
      </c>
      <c r="D98" s="17">
        <f>VLOOKUP(B98,BS!$A:$S,18,FALSE)-VLOOKUP(B98,BS!$A:$S,$C$1+5,FALSE)-VLOOKUP(B98,BS!$A:$S,$C$1+4,FALSE)</f>
        <v>0</v>
      </c>
      <c r="E98" s="17">
        <f>VLOOKUP(B98,BS!$A:$S,18,FALSE)-VLOOKUP(B98,BS!$A:$S,$C$1+5,FALSE)</f>
        <v>0</v>
      </c>
      <c r="F98" s="17">
        <f>VLOOKUP(B98,BS!$A:$S,18,FALSE)</f>
        <v>0</v>
      </c>
      <c r="G98" s="18">
        <f t="shared" si="22"/>
        <v>0</v>
      </c>
      <c r="H98" s="19">
        <f t="shared" si="23"/>
        <v>0</v>
      </c>
      <c r="I98" s="18">
        <f t="shared" si="24"/>
        <v>0</v>
      </c>
      <c r="J98" s="19">
        <f t="shared" si="25"/>
        <v>0</v>
      </c>
      <c r="L98" s="6" t="s">
        <v>602</v>
      </c>
      <c r="M98" s="20" t="s">
        <v>603</v>
      </c>
      <c r="N98" s="17">
        <f>VLOOKUP(L98,PL!$A:$S,$C$1+3,FALSE)</f>
        <v>0</v>
      </c>
      <c r="O98" s="17">
        <f>VLOOKUP(L98,PL!$A:$S,$C$1+4,FALSE)</f>
        <v>0</v>
      </c>
      <c r="P98" s="17">
        <f>VLOOKUP(L98,PL!$A:$S,$C$1+5,FALSE)</f>
        <v>0</v>
      </c>
      <c r="Q98" s="18">
        <f t="shared" si="26"/>
        <v>0</v>
      </c>
      <c r="R98" s="19">
        <f t="shared" si="27"/>
        <v>0</v>
      </c>
      <c r="S98" s="18">
        <f t="shared" si="28"/>
        <v>0</v>
      </c>
      <c r="T98" s="19">
        <f t="shared" si="29"/>
        <v>0</v>
      </c>
    </row>
    <row r="99" spans="2:21" x14ac:dyDescent="0.4">
      <c r="B99" s="6" t="s">
        <v>208</v>
      </c>
      <c r="C99" s="20" t="s">
        <v>209</v>
      </c>
      <c r="D99" s="17">
        <f>VLOOKUP(B99,BS!$A:$S,18,FALSE)-VLOOKUP(B99,BS!$A:$S,$C$1+5,FALSE)-VLOOKUP(B99,BS!$A:$S,$C$1+4,FALSE)</f>
        <v>0</v>
      </c>
      <c r="E99" s="17">
        <f>VLOOKUP(B99,BS!$A:$S,18,FALSE)-VLOOKUP(B99,BS!$A:$S,$C$1+5,FALSE)</f>
        <v>0</v>
      </c>
      <c r="F99" s="17">
        <f>VLOOKUP(B99,BS!$A:$S,18,FALSE)</f>
        <v>0</v>
      </c>
      <c r="G99" s="18">
        <f t="shared" si="22"/>
        <v>0</v>
      </c>
      <c r="H99" s="19">
        <f t="shared" si="23"/>
        <v>0</v>
      </c>
      <c r="I99" s="18">
        <f t="shared" si="24"/>
        <v>0</v>
      </c>
      <c r="J99" s="19">
        <f t="shared" si="25"/>
        <v>0</v>
      </c>
      <c r="L99" s="6" t="s">
        <v>604</v>
      </c>
      <c r="M99" s="20" t="s">
        <v>605</v>
      </c>
      <c r="N99" s="17">
        <f>VLOOKUP(L99,PL!$A:$S,$C$1+3,FALSE)</f>
        <v>0</v>
      </c>
      <c r="O99" s="17">
        <f>VLOOKUP(L99,PL!$A:$S,$C$1+4,FALSE)</f>
        <v>0</v>
      </c>
      <c r="P99" s="17">
        <f>VLOOKUP(L99,PL!$A:$S,$C$1+5,FALSE)</f>
        <v>0</v>
      </c>
      <c r="Q99" s="18">
        <f t="shared" si="26"/>
        <v>0</v>
      </c>
      <c r="R99" s="19">
        <f t="shared" si="27"/>
        <v>0</v>
      </c>
      <c r="S99" s="18">
        <f t="shared" si="28"/>
        <v>0</v>
      </c>
      <c r="T99" s="19">
        <f t="shared" si="29"/>
        <v>0</v>
      </c>
    </row>
    <row r="100" spans="2:21" x14ac:dyDescent="0.4">
      <c r="B100" s="15" t="s">
        <v>210</v>
      </c>
      <c r="C100" s="16" t="s">
        <v>211</v>
      </c>
      <c r="D100" s="17">
        <f>VLOOKUP(B100,BS!$A:$S,18,FALSE)-VLOOKUP(B100,BS!$A:$S,$C$1+5,FALSE)-VLOOKUP(B100,BS!$A:$S,$C$1+4,FALSE)</f>
        <v>6109873.21</v>
      </c>
      <c r="E100" s="17">
        <f>VLOOKUP(B100,BS!$A:$S,18,FALSE)-VLOOKUP(B100,BS!$A:$S,$C$1+5,FALSE)</f>
        <v>6087750.6200000001</v>
      </c>
      <c r="F100" s="17">
        <f>VLOOKUP(B100,BS!$A:$S,18,FALSE)</f>
        <v>6065628.0300000003</v>
      </c>
      <c r="G100" s="18">
        <f t="shared" si="22"/>
        <v>-22122.589999999851</v>
      </c>
      <c r="H100" s="19">
        <f t="shared" si="23"/>
        <v>-3.6207936301839972E-3</v>
      </c>
      <c r="I100" s="18">
        <f t="shared" si="24"/>
        <v>-22122.589999999851</v>
      </c>
      <c r="J100" s="19">
        <f t="shared" si="25"/>
        <v>-3.6339514183318911E-3</v>
      </c>
      <c r="K100" s="30">
        <f>I100+P60</f>
        <v>1.4915713109076023E-10</v>
      </c>
      <c r="L100" s="6" t="s">
        <v>606</v>
      </c>
      <c r="M100" s="20" t="s">
        <v>607</v>
      </c>
      <c r="N100" s="17">
        <f>VLOOKUP(L100,PL!$A:$S,$C$1+3,FALSE)</f>
        <v>0</v>
      </c>
      <c r="O100" s="17">
        <f>VLOOKUP(L100,PL!$A:$S,$C$1+4,FALSE)</f>
        <v>0</v>
      </c>
      <c r="P100" s="17">
        <f>VLOOKUP(L100,PL!$A:$S,$C$1+5,FALSE)</f>
        <v>0</v>
      </c>
      <c r="Q100" s="18">
        <f t="shared" si="26"/>
        <v>0</v>
      </c>
      <c r="R100" s="19">
        <f t="shared" si="27"/>
        <v>0</v>
      </c>
      <c r="S100" s="18">
        <f t="shared" si="28"/>
        <v>0</v>
      </c>
      <c r="T100" s="19">
        <f t="shared" si="29"/>
        <v>0</v>
      </c>
    </row>
    <row r="101" spans="2:21" x14ac:dyDescent="0.4">
      <c r="B101" s="6" t="s">
        <v>212</v>
      </c>
      <c r="C101" s="20" t="s">
        <v>213</v>
      </c>
      <c r="D101" s="17">
        <f>VLOOKUP(B101,BS!$A:$S,18,FALSE)-VLOOKUP(B101,BS!$A:$S,$C$1+5,FALSE)-VLOOKUP(B101,BS!$A:$S,$C$1+4,FALSE)</f>
        <v>0</v>
      </c>
      <c r="E101" s="17">
        <f>VLOOKUP(B101,BS!$A:$S,18,FALSE)-VLOOKUP(B101,BS!$A:$S,$C$1+5,FALSE)</f>
        <v>0</v>
      </c>
      <c r="F101" s="17">
        <f>VLOOKUP(B101,BS!$A:$S,18,FALSE)</f>
        <v>0</v>
      </c>
      <c r="G101" s="18">
        <f t="shared" si="22"/>
        <v>0</v>
      </c>
      <c r="H101" s="19">
        <f t="shared" si="23"/>
        <v>0</v>
      </c>
      <c r="I101" s="18">
        <f t="shared" si="24"/>
        <v>0</v>
      </c>
      <c r="J101" s="19">
        <f t="shared" si="25"/>
        <v>0</v>
      </c>
      <c r="L101" s="6" t="s">
        <v>608</v>
      </c>
      <c r="M101" s="20" t="s">
        <v>609</v>
      </c>
      <c r="N101" s="17">
        <f>VLOOKUP(L101,PL!$A:$S,$C$1+3,FALSE)</f>
        <v>0</v>
      </c>
      <c r="O101" s="17">
        <f>VLOOKUP(L101,PL!$A:$S,$C$1+4,FALSE)</f>
        <v>0</v>
      </c>
      <c r="P101" s="17">
        <f>VLOOKUP(L101,PL!$A:$S,$C$1+5,FALSE)</f>
        <v>0</v>
      </c>
      <c r="Q101" s="18">
        <f t="shared" si="26"/>
        <v>0</v>
      </c>
      <c r="R101" s="19">
        <f t="shared" si="27"/>
        <v>0</v>
      </c>
      <c r="S101" s="18">
        <f t="shared" si="28"/>
        <v>0</v>
      </c>
      <c r="T101" s="19">
        <f t="shared" si="29"/>
        <v>0</v>
      </c>
    </row>
    <row r="102" spans="2:21" x14ac:dyDescent="0.4">
      <c r="B102" s="6" t="s">
        <v>214</v>
      </c>
      <c r="C102" s="20" t="s">
        <v>215</v>
      </c>
      <c r="D102" s="17">
        <f>VLOOKUP(B102,BS!$A:$S,18,FALSE)-VLOOKUP(B102,BS!$A:$S,$C$1+5,FALSE)-VLOOKUP(B102,BS!$A:$S,$C$1+4,FALSE)</f>
        <v>0</v>
      </c>
      <c r="E102" s="17">
        <f>VLOOKUP(B102,BS!$A:$S,18,FALSE)-VLOOKUP(B102,BS!$A:$S,$C$1+5,FALSE)</f>
        <v>0</v>
      </c>
      <c r="F102" s="17">
        <f>VLOOKUP(B102,BS!$A:$S,18,FALSE)</f>
        <v>0</v>
      </c>
      <c r="G102" s="18">
        <f t="shared" si="22"/>
        <v>0</v>
      </c>
      <c r="H102" s="19">
        <f t="shared" si="23"/>
        <v>0</v>
      </c>
      <c r="I102" s="18">
        <f t="shared" si="24"/>
        <v>0</v>
      </c>
      <c r="J102" s="19">
        <f t="shared" si="25"/>
        <v>0</v>
      </c>
      <c r="L102" s="6" t="s">
        <v>610</v>
      </c>
      <c r="M102" s="20" t="s">
        <v>611</v>
      </c>
      <c r="N102" s="17">
        <f>VLOOKUP(L102,PL!$A:$S,$C$1+3,FALSE)</f>
        <v>0</v>
      </c>
      <c r="O102" s="17">
        <f>VLOOKUP(L102,PL!$A:$S,$C$1+4,FALSE)</f>
        <v>0</v>
      </c>
      <c r="P102" s="17">
        <f>VLOOKUP(L102,PL!$A:$S,$C$1+5,FALSE)</f>
        <v>0</v>
      </c>
      <c r="Q102" s="18">
        <f t="shared" si="26"/>
        <v>0</v>
      </c>
      <c r="R102" s="19">
        <f t="shared" si="27"/>
        <v>0</v>
      </c>
      <c r="S102" s="18">
        <f t="shared" si="28"/>
        <v>0</v>
      </c>
      <c r="T102" s="19">
        <f t="shared" si="29"/>
        <v>0</v>
      </c>
    </row>
    <row r="103" spans="2:21" x14ac:dyDescent="0.4">
      <c r="B103" s="6" t="s">
        <v>216</v>
      </c>
      <c r="C103" s="20" t="s">
        <v>217</v>
      </c>
      <c r="D103" s="17">
        <f>VLOOKUP(B103,BS!$A:$S,18,FALSE)-VLOOKUP(B103,BS!$A:$S,$C$1+5,FALSE)-VLOOKUP(B103,BS!$A:$S,$C$1+4,FALSE)</f>
        <v>0</v>
      </c>
      <c r="E103" s="17">
        <f>VLOOKUP(B103,BS!$A:$S,18,FALSE)-VLOOKUP(B103,BS!$A:$S,$C$1+5,FALSE)</f>
        <v>0</v>
      </c>
      <c r="F103" s="17">
        <f>VLOOKUP(B103,BS!$A:$S,18,FALSE)</f>
        <v>0</v>
      </c>
      <c r="G103" s="18">
        <f t="shared" si="22"/>
        <v>0</v>
      </c>
      <c r="H103" s="19">
        <f t="shared" si="23"/>
        <v>0</v>
      </c>
      <c r="I103" s="18">
        <f t="shared" si="24"/>
        <v>0</v>
      </c>
      <c r="J103" s="19">
        <f t="shared" si="25"/>
        <v>0</v>
      </c>
      <c r="L103" s="6" t="s">
        <v>612</v>
      </c>
      <c r="M103" s="20" t="s">
        <v>613</v>
      </c>
      <c r="N103" s="17">
        <f>VLOOKUP(L103,PL!$A:$S,$C$1+3,FALSE)</f>
        <v>0</v>
      </c>
      <c r="O103" s="17">
        <f>VLOOKUP(L103,PL!$A:$S,$C$1+4,FALSE)</f>
        <v>0</v>
      </c>
      <c r="P103" s="17">
        <f>VLOOKUP(L103,PL!$A:$S,$C$1+5,FALSE)</f>
        <v>0</v>
      </c>
      <c r="Q103" s="18">
        <f t="shared" si="26"/>
        <v>0</v>
      </c>
      <c r="R103" s="19">
        <f t="shared" si="27"/>
        <v>0</v>
      </c>
      <c r="S103" s="18">
        <f t="shared" si="28"/>
        <v>0</v>
      </c>
      <c r="T103" s="19">
        <f t="shared" si="29"/>
        <v>0</v>
      </c>
      <c r="U103" s="9" t="s">
        <v>736</v>
      </c>
    </row>
    <row r="104" spans="2:21" x14ac:dyDescent="0.4">
      <c r="B104" s="6" t="s">
        <v>218</v>
      </c>
      <c r="C104" s="20" t="s">
        <v>219</v>
      </c>
      <c r="D104" s="17">
        <f>VLOOKUP(B104,BS!$A:$S,18,FALSE)-VLOOKUP(B104,BS!$A:$S,$C$1+5,FALSE)-VLOOKUP(B104,BS!$A:$S,$C$1+4,FALSE)</f>
        <v>0</v>
      </c>
      <c r="E104" s="17">
        <f>VLOOKUP(B104,BS!$A:$S,18,FALSE)-VLOOKUP(B104,BS!$A:$S,$C$1+5,FALSE)</f>
        <v>0</v>
      </c>
      <c r="F104" s="17">
        <f>VLOOKUP(B104,BS!$A:$S,18,FALSE)</f>
        <v>0</v>
      </c>
      <c r="G104" s="18">
        <f t="shared" si="22"/>
        <v>0</v>
      </c>
      <c r="H104" s="19">
        <f t="shared" si="23"/>
        <v>0</v>
      </c>
      <c r="I104" s="18">
        <f t="shared" si="24"/>
        <v>0</v>
      </c>
      <c r="J104" s="19">
        <f t="shared" si="25"/>
        <v>0</v>
      </c>
      <c r="L104" s="6" t="s">
        <v>614</v>
      </c>
      <c r="M104" s="20" t="s">
        <v>615</v>
      </c>
      <c r="N104" s="17">
        <f>VLOOKUP(L104,PL!$A:$S,$C$1+3,FALSE)</f>
        <v>0</v>
      </c>
      <c r="O104" s="17">
        <f>VLOOKUP(L104,PL!$A:$S,$C$1+4,FALSE)</f>
        <v>0</v>
      </c>
      <c r="P104" s="17">
        <f>VLOOKUP(L104,PL!$A:$S,$C$1+5,FALSE)</f>
        <v>0</v>
      </c>
      <c r="Q104" s="18">
        <f t="shared" si="26"/>
        <v>0</v>
      </c>
      <c r="R104" s="19">
        <f t="shared" si="27"/>
        <v>0</v>
      </c>
      <c r="S104" s="18">
        <f t="shared" si="28"/>
        <v>0</v>
      </c>
      <c r="T104" s="19">
        <f t="shared" si="29"/>
        <v>0</v>
      </c>
    </row>
    <row r="105" spans="2:21" x14ac:dyDescent="0.4">
      <c r="B105" s="6" t="s">
        <v>220</v>
      </c>
      <c r="C105" s="20" t="s">
        <v>221</v>
      </c>
      <c r="D105" s="17">
        <f>VLOOKUP(B105,BS!$A:$S,18,FALSE)-VLOOKUP(B105,BS!$A:$S,$C$1+5,FALSE)-VLOOKUP(B105,BS!$A:$S,$C$1+4,FALSE)</f>
        <v>6109873.21</v>
      </c>
      <c r="E105" s="17">
        <f>VLOOKUP(B105,BS!$A:$S,18,FALSE)-VLOOKUP(B105,BS!$A:$S,$C$1+5,FALSE)</f>
        <v>6087750.6200000001</v>
      </c>
      <c r="F105" s="17">
        <f>VLOOKUP(B105,BS!$A:$S,18,FALSE)</f>
        <v>6065628.0300000003</v>
      </c>
      <c r="G105" s="18">
        <f t="shared" si="22"/>
        <v>-22122.589999999851</v>
      </c>
      <c r="H105" s="19">
        <f t="shared" si="23"/>
        <v>-3.6207936301839972E-3</v>
      </c>
      <c r="I105" s="18">
        <f t="shared" si="24"/>
        <v>-22122.589999999851</v>
      </c>
      <c r="J105" s="19">
        <f t="shared" si="25"/>
        <v>-3.6339514183318911E-3</v>
      </c>
      <c r="L105" s="6" t="s">
        <v>616</v>
      </c>
      <c r="M105" s="20" t="s">
        <v>617</v>
      </c>
      <c r="N105" s="17">
        <f>VLOOKUP(L105,PL!$A:$S,$C$1+3,FALSE)</f>
        <v>0</v>
      </c>
      <c r="O105" s="17">
        <f>VLOOKUP(L105,PL!$A:$S,$C$1+4,FALSE)</f>
        <v>0</v>
      </c>
      <c r="P105" s="17">
        <f>VLOOKUP(L105,PL!$A:$S,$C$1+5,FALSE)</f>
        <v>0</v>
      </c>
      <c r="Q105" s="18">
        <f t="shared" si="26"/>
        <v>0</v>
      </c>
      <c r="R105" s="19">
        <f t="shared" si="27"/>
        <v>0</v>
      </c>
      <c r="S105" s="18">
        <f t="shared" si="28"/>
        <v>0</v>
      </c>
      <c r="T105" s="19">
        <f t="shared" si="29"/>
        <v>0</v>
      </c>
    </row>
    <row r="106" spans="2:21" x14ac:dyDescent="0.4">
      <c r="B106" s="6" t="s">
        <v>222</v>
      </c>
      <c r="C106" s="20" t="s">
        <v>223</v>
      </c>
      <c r="D106" s="17">
        <f>VLOOKUP(B106,BS!$A:$S,18,FALSE)-VLOOKUP(B106,BS!$A:$S,$C$1+5,FALSE)-VLOOKUP(B106,BS!$A:$S,$C$1+4,FALSE)</f>
        <v>0</v>
      </c>
      <c r="E106" s="17">
        <f>VLOOKUP(B106,BS!$A:$S,18,FALSE)-VLOOKUP(B106,BS!$A:$S,$C$1+5,FALSE)</f>
        <v>0</v>
      </c>
      <c r="F106" s="17">
        <f>VLOOKUP(B106,BS!$A:$S,18,FALSE)</f>
        <v>0</v>
      </c>
      <c r="G106" s="18">
        <f t="shared" si="22"/>
        <v>0</v>
      </c>
      <c r="H106" s="19">
        <f t="shared" si="23"/>
        <v>0</v>
      </c>
      <c r="I106" s="18">
        <f t="shared" si="24"/>
        <v>0</v>
      </c>
      <c r="J106" s="19">
        <f t="shared" si="25"/>
        <v>0</v>
      </c>
      <c r="L106" s="6" t="s">
        <v>618</v>
      </c>
      <c r="M106" s="20" t="s">
        <v>619</v>
      </c>
      <c r="N106" s="17">
        <f>VLOOKUP(L106,PL!$A:$S,$C$1+3,FALSE)</f>
        <v>0</v>
      </c>
      <c r="O106" s="17">
        <f>VLOOKUP(L106,PL!$A:$S,$C$1+4,FALSE)</f>
        <v>0</v>
      </c>
      <c r="P106" s="17">
        <f>VLOOKUP(L106,PL!$A:$S,$C$1+5,FALSE)</f>
        <v>0</v>
      </c>
      <c r="Q106" s="18">
        <f t="shared" si="26"/>
        <v>0</v>
      </c>
      <c r="R106" s="19">
        <f t="shared" si="27"/>
        <v>0</v>
      </c>
      <c r="S106" s="18">
        <f t="shared" si="28"/>
        <v>0</v>
      </c>
      <c r="T106" s="19">
        <f t="shared" si="29"/>
        <v>0</v>
      </c>
    </row>
    <row r="107" spans="2:21" x14ac:dyDescent="0.4">
      <c r="B107" s="15" t="s">
        <v>224</v>
      </c>
      <c r="C107" s="16" t="s">
        <v>225</v>
      </c>
      <c r="D107" s="17">
        <f>VLOOKUP(B107,BS!$A:$S,18,FALSE)-VLOOKUP(B107,BS!$A:$S,$C$1+5,FALSE)-VLOOKUP(B107,BS!$A:$S,$C$1+4,FALSE)</f>
        <v>16079680</v>
      </c>
      <c r="E107" s="17">
        <f>VLOOKUP(B107,BS!$A:$S,18,FALSE)-VLOOKUP(B107,BS!$A:$S,$C$1+5,FALSE)</f>
        <v>15530552</v>
      </c>
      <c r="F107" s="17">
        <f>VLOOKUP(B107,BS!$A:$S,18,FALSE)</f>
        <v>15530552</v>
      </c>
      <c r="G107" s="18">
        <f t="shared" si="22"/>
        <v>-549128</v>
      </c>
      <c r="H107" s="19">
        <f t="shared" si="23"/>
        <v>-3.4150430854345361E-2</v>
      </c>
      <c r="I107" s="18">
        <f t="shared" si="24"/>
        <v>0</v>
      </c>
      <c r="J107" s="19">
        <f t="shared" si="25"/>
        <v>0</v>
      </c>
      <c r="L107" s="6" t="s">
        <v>620</v>
      </c>
      <c r="M107" s="20" t="s">
        <v>621</v>
      </c>
      <c r="N107" s="17">
        <f>VLOOKUP(L107,PL!$A:$S,$C$1+3,FALSE)</f>
        <v>0</v>
      </c>
      <c r="O107" s="17">
        <f>VLOOKUP(L107,PL!$A:$S,$C$1+4,FALSE)</f>
        <v>4863298.09</v>
      </c>
      <c r="P107" s="17">
        <f>VLOOKUP(L107,PL!$A:$S,$C$1+5,FALSE)</f>
        <v>435006.59</v>
      </c>
      <c r="Q107" s="18">
        <f t="shared" si="26"/>
        <v>4863298.09</v>
      </c>
      <c r="R107" s="19">
        <f t="shared" si="27"/>
        <v>0</v>
      </c>
      <c r="S107" s="18">
        <f t="shared" si="28"/>
        <v>-4428291.5</v>
      </c>
      <c r="T107" s="19">
        <f t="shared" si="29"/>
        <v>-0.91055317154124926</v>
      </c>
    </row>
    <row r="108" spans="2:21" x14ac:dyDescent="0.4">
      <c r="B108" s="6" t="s">
        <v>226</v>
      </c>
      <c r="C108" s="20" t="s">
        <v>227</v>
      </c>
      <c r="D108" s="17">
        <f>VLOOKUP(B108,BS!$A:$S,18,FALSE)-VLOOKUP(B108,BS!$A:$S,$C$1+5,FALSE)-VLOOKUP(B108,BS!$A:$S,$C$1+4,FALSE)</f>
        <v>0</v>
      </c>
      <c r="E108" s="17">
        <f>VLOOKUP(B108,BS!$A:$S,18,FALSE)-VLOOKUP(B108,BS!$A:$S,$C$1+5,FALSE)</f>
        <v>0</v>
      </c>
      <c r="F108" s="17">
        <f>VLOOKUP(B108,BS!$A:$S,18,FALSE)</f>
        <v>0</v>
      </c>
      <c r="G108" s="18">
        <f t="shared" si="22"/>
        <v>0</v>
      </c>
      <c r="H108" s="19">
        <f t="shared" si="23"/>
        <v>0</v>
      </c>
      <c r="I108" s="18">
        <f t="shared" si="24"/>
        <v>0</v>
      </c>
      <c r="J108" s="19">
        <f t="shared" si="25"/>
        <v>0</v>
      </c>
      <c r="L108" s="6" t="s">
        <v>622</v>
      </c>
      <c r="M108" s="20" t="s">
        <v>623</v>
      </c>
      <c r="N108" s="17">
        <f>VLOOKUP(L108,PL!$A:$S,$C$1+3,FALSE)</f>
        <v>0</v>
      </c>
      <c r="O108" s="17">
        <f>VLOOKUP(L108,PL!$A:$S,$C$1+4,FALSE)</f>
        <v>0</v>
      </c>
      <c r="P108" s="17">
        <f>VLOOKUP(L108,PL!$A:$S,$C$1+5,FALSE)</f>
        <v>0</v>
      </c>
      <c r="Q108" s="18">
        <f t="shared" si="26"/>
        <v>0</v>
      </c>
      <c r="R108" s="19">
        <f t="shared" si="27"/>
        <v>0</v>
      </c>
      <c r="S108" s="18">
        <f t="shared" si="28"/>
        <v>0</v>
      </c>
      <c r="T108" s="19">
        <f t="shared" si="29"/>
        <v>0</v>
      </c>
      <c r="U108" s="30"/>
    </row>
    <row r="109" spans="2:21" x14ac:dyDescent="0.4">
      <c r="B109" s="6" t="s">
        <v>228</v>
      </c>
      <c r="C109" s="20" t="s">
        <v>229</v>
      </c>
      <c r="D109" s="17">
        <f>VLOOKUP(B109,BS!$A:$S,18,FALSE)-VLOOKUP(B109,BS!$A:$S,$C$1+5,FALSE)-VLOOKUP(B109,BS!$A:$S,$C$1+4,FALSE)</f>
        <v>0</v>
      </c>
      <c r="E109" s="17">
        <f>VLOOKUP(B109,BS!$A:$S,18,FALSE)-VLOOKUP(B109,BS!$A:$S,$C$1+5,FALSE)</f>
        <v>0</v>
      </c>
      <c r="F109" s="17">
        <f>VLOOKUP(B109,BS!$A:$S,18,FALSE)</f>
        <v>0</v>
      </c>
      <c r="G109" s="18">
        <f t="shared" si="22"/>
        <v>0</v>
      </c>
      <c r="H109" s="19">
        <f t="shared" si="23"/>
        <v>0</v>
      </c>
      <c r="I109" s="18">
        <f t="shared" si="24"/>
        <v>0</v>
      </c>
      <c r="J109" s="19">
        <f t="shared" si="25"/>
        <v>0</v>
      </c>
      <c r="L109" s="6" t="s">
        <v>624</v>
      </c>
      <c r="M109" s="20" t="s">
        <v>355</v>
      </c>
      <c r="N109" s="17">
        <f>VLOOKUP(L109,PL!$A:$S,$C$1+3,FALSE)</f>
        <v>0</v>
      </c>
      <c r="O109" s="17">
        <f>VLOOKUP(L109,PL!$A:$S,$C$1+4,FALSE)</f>
        <v>0</v>
      </c>
      <c r="P109" s="17">
        <f>VLOOKUP(L109,PL!$A:$S,$C$1+5,FALSE)</f>
        <v>0</v>
      </c>
      <c r="Q109" s="18">
        <f t="shared" si="26"/>
        <v>0</v>
      </c>
      <c r="R109" s="19">
        <f t="shared" si="27"/>
        <v>0</v>
      </c>
      <c r="S109" s="18">
        <f t="shared" si="28"/>
        <v>0</v>
      </c>
      <c r="T109" s="19">
        <f t="shared" si="29"/>
        <v>0</v>
      </c>
    </row>
    <row r="110" spans="2:21" x14ac:dyDescent="0.4">
      <c r="B110" s="6" t="s">
        <v>230</v>
      </c>
      <c r="C110" s="20" t="s">
        <v>231</v>
      </c>
      <c r="D110" s="17">
        <f>VLOOKUP(B110,BS!$A:$S,18,FALSE)-VLOOKUP(B110,BS!$A:$S,$C$1+5,FALSE)-VLOOKUP(B110,BS!$A:$S,$C$1+4,FALSE)</f>
        <v>0</v>
      </c>
      <c r="E110" s="17">
        <f>VLOOKUP(B110,BS!$A:$S,18,FALSE)-VLOOKUP(B110,BS!$A:$S,$C$1+5,FALSE)</f>
        <v>0</v>
      </c>
      <c r="F110" s="17">
        <f>VLOOKUP(B110,BS!$A:$S,18,FALSE)</f>
        <v>0</v>
      </c>
      <c r="G110" s="18">
        <f t="shared" si="22"/>
        <v>0</v>
      </c>
      <c r="H110" s="19">
        <f t="shared" si="23"/>
        <v>0</v>
      </c>
      <c r="I110" s="18">
        <f t="shared" si="24"/>
        <v>0</v>
      </c>
      <c r="J110" s="19">
        <f t="shared" si="25"/>
        <v>0</v>
      </c>
      <c r="L110" s="6" t="s">
        <v>625</v>
      </c>
      <c r="M110" s="20" t="s">
        <v>626</v>
      </c>
      <c r="N110" s="17">
        <f>VLOOKUP(L110,PL!$A:$S,$C$1+3,FALSE)</f>
        <v>0</v>
      </c>
      <c r="O110" s="17">
        <f>VLOOKUP(L110,PL!$A:$S,$C$1+4,FALSE)</f>
        <v>0</v>
      </c>
      <c r="P110" s="17">
        <f>VLOOKUP(L110,PL!$A:$S,$C$1+5,FALSE)</f>
        <v>0</v>
      </c>
      <c r="Q110" s="18">
        <f t="shared" si="26"/>
        <v>0</v>
      </c>
      <c r="R110" s="19">
        <f t="shared" si="27"/>
        <v>0</v>
      </c>
      <c r="S110" s="18">
        <f t="shared" si="28"/>
        <v>0</v>
      </c>
      <c r="T110" s="19">
        <f t="shared" si="29"/>
        <v>0</v>
      </c>
    </row>
    <row r="111" spans="2:21" x14ac:dyDescent="0.4">
      <c r="B111" s="6" t="s">
        <v>232</v>
      </c>
      <c r="C111" s="20" t="s">
        <v>233</v>
      </c>
      <c r="D111" s="17">
        <f>VLOOKUP(B111,BS!$A:$S,18,FALSE)-VLOOKUP(B111,BS!$A:$S,$C$1+5,FALSE)-VLOOKUP(B111,BS!$A:$S,$C$1+4,FALSE)</f>
        <v>16079680</v>
      </c>
      <c r="E111" s="17">
        <f>VLOOKUP(B111,BS!$A:$S,18,FALSE)-VLOOKUP(B111,BS!$A:$S,$C$1+5,FALSE)</f>
        <v>15530552</v>
      </c>
      <c r="F111" s="17">
        <f>VLOOKUP(B111,BS!$A:$S,18,FALSE)</f>
        <v>15530552</v>
      </c>
      <c r="G111" s="18">
        <f t="shared" si="22"/>
        <v>-549128</v>
      </c>
      <c r="H111" s="19">
        <f t="shared" si="23"/>
        <v>-3.4150430854345361E-2</v>
      </c>
      <c r="I111" s="18">
        <f t="shared" si="24"/>
        <v>0</v>
      </c>
      <c r="J111" s="19">
        <f t="shared" si="25"/>
        <v>0</v>
      </c>
      <c r="L111" s="15" t="s">
        <v>627</v>
      </c>
      <c r="M111" s="16" t="s">
        <v>628</v>
      </c>
      <c r="N111" s="17">
        <f>VLOOKUP(L111,PL!$A:$S,$C$1+3,FALSE)</f>
        <v>38189749.979999997</v>
      </c>
      <c r="O111" s="17">
        <f>VLOOKUP(L111,PL!$A:$S,$C$1+4,FALSE)</f>
        <v>90152802.849999994</v>
      </c>
      <c r="P111" s="17">
        <f>VLOOKUP(L111,PL!$A:$S,$C$1+5,FALSE)</f>
        <v>-39240993.609999999</v>
      </c>
      <c r="Q111" s="18">
        <f t="shared" si="26"/>
        <v>51963052.869999997</v>
      </c>
      <c r="R111" s="19">
        <f t="shared" si="27"/>
        <v>1.3606544399272866</v>
      </c>
      <c r="S111" s="18">
        <f t="shared" si="28"/>
        <v>-129393796.45999999</v>
      </c>
      <c r="T111" s="19">
        <f t="shared" si="29"/>
        <v>-1.4352720311457294</v>
      </c>
    </row>
    <row r="112" spans="2:21" x14ac:dyDescent="0.4">
      <c r="B112" s="6" t="s">
        <v>234</v>
      </c>
      <c r="C112" s="20" t="s">
        <v>235</v>
      </c>
      <c r="D112" s="17">
        <f>VLOOKUP(B112,BS!$A:$S,18,FALSE)-VLOOKUP(B112,BS!$A:$S,$C$1+5,FALSE)-VLOOKUP(B112,BS!$A:$S,$C$1+4,FALSE)</f>
        <v>0</v>
      </c>
      <c r="E112" s="17">
        <f>VLOOKUP(B112,BS!$A:$S,18,FALSE)-VLOOKUP(B112,BS!$A:$S,$C$1+5,FALSE)</f>
        <v>0</v>
      </c>
      <c r="F112" s="17">
        <f>VLOOKUP(B112,BS!$A:$S,18,FALSE)</f>
        <v>0</v>
      </c>
      <c r="G112" s="18">
        <f t="shared" si="22"/>
        <v>0</v>
      </c>
      <c r="H112" s="19">
        <f t="shared" si="23"/>
        <v>0</v>
      </c>
      <c r="I112" s="18">
        <f t="shared" si="24"/>
        <v>0</v>
      </c>
      <c r="J112" s="19">
        <f t="shared" si="25"/>
        <v>0</v>
      </c>
      <c r="L112" s="6" t="s">
        <v>629</v>
      </c>
      <c r="M112" s="20" t="s">
        <v>630</v>
      </c>
      <c r="N112" s="17">
        <f>VLOOKUP(L112,PL!$A:$S,$C$1+3,FALSE)</f>
        <v>0</v>
      </c>
      <c r="O112" s="17">
        <f>VLOOKUP(L112,PL!$A:$S,$C$1+4,FALSE)</f>
        <v>0</v>
      </c>
      <c r="P112" s="17">
        <f>VLOOKUP(L112,PL!$A:$S,$C$1+5,FALSE)</f>
        <v>0</v>
      </c>
      <c r="Q112" s="18">
        <f t="shared" si="26"/>
        <v>0</v>
      </c>
      <c r="R112" s="19">
        <f t="shared" si="27"/>
        <v>0</v>
      </c>
      <c r="S112" s="18">
        <f t="shared" si="28"/>
        <v>0</v>
      </c>
      <c r="T112" s="19">
        <f t="shared" si="29"/>
        <v>0</v>
      </c>
    </row>
    <row r="113" spans="2:20" x14ac:dyDescent="0.4">
      <c r="B113" s="15" t="s">
        <v>236</v>
      </c>
      <c r="C113" s="16" t="s">
        <v>237</v>
      </c>
      <c r="D113" s="17">
        <f>VLOOKUP(B113,BS!$A:$S,18,FALSE)-VLOOKUP(B113,BS!$A:$S,$C$1+5,FALSE)-VLOOKUP(B113,BS!$A:$S,$C$1+4,FALSE)</f>
        <v>3684003777.79</v>
      </c>
      <c r="E113" s="17">
        <f>VLOOKUP(B113,BS!$A:$S,18,FALSE)-VLOOKUP(B113,BS!$A:$S,$C$1+5,FALSE)</f>
        <v>3744216601.2399998</v>
      </c>
      <c r="F113" s="17">
        <f>VLOOKUP(B113,BS!$A:$S,18,FALSE)</f>
        <v>3621817148.8899999</v>
      </c>
      <c r="G113" s="18">
        <f t="shared" si="22"/>
        <v>60212823.449999809</v>
      </c>
      <c r="H113" s="19">
        <f t="shared" si="23"/>
        <v>1.6344397856758151E-2</v>
      </c>
      <c r="I113" s="18">
        <f t="shared" si="24"/>
        <v>-122399452.3499999</v>
      </c>
      <c r="J113" s="19">
        <f t="shared" si="25"/>
        <v>-3.2690270191490518E-2</v>
      </c>
      <c r="L113" s="6" t="s">
        <v>631</v>
      </c>
      <c r="M113" s="20" t="s">
        <v>632</v>
      </c>
      <c r="N113" s="17">
        <f>VLOOKUP(L113,PL!$A:$S,$C$1+3,FALSE)</f>
        <v>0</v>
      </c>
      <c r="O113" s="17">
        <f>VLOOKUP(L113,PL!$A:$S,$C$1+4,FALSE)</f>
        <v>0</v>
      </c>
      <c r="P113" s="17">
        <f>VLOOKUP(L113,PL!$A:$S,$C$1+5,FALSE)</f>
        <v>0</v>
      </c>
      <c r="Q113" s="18">
        <f t="shared" si="26"/>
        <v>0</v>
      </c>
      <c r="R113" s="19">
        <f t="shared" si="27"/>
        <v>0</v>
      </c>
      <c r="S113" s="18">
        <f t="shared" si="28"/>
        <v>0</v>
      </c>
      <c r="T113" s="19">
        <f t="shared" si="29"/>
        <v>0</v>
      </c>
    </row>
    <row r="114" spans="2:20" x14ac:dyDescent="0.4">
      <c r="B114" s="15" t="s">
        <v>238</v>
      </c>
      <c r="C114" s="16" t="s">
        <v>239</v>
      </c>
      <c r="D114" s="17">
        <f>VLOOKUP(B114,BS!$A:$S,18,FALSE)-VLOOKUP(B114,BS!$A:$S,$C$1+5,FALSE)-VLOOKUP(B114,BS!$A:$S,$C$1+4,FALSE)</f>
        <v>3684003777.79</v>
      </c>
      <c r="E114" s="17">
        <f>VLOOKUP(B114,BS!$A:$S,18,FALSE)-VLOOKUP(B114,BS!$A:$S,$C$1+5,FALSE)</f>
        <v>3744216601.2399998</v>
      </c>
      <c r="F114" s="17">
        <f>VLOOKUP(B114,BS!$A:$S,18,FALSE)</f>
        <v>3621817148.8899999</v>
      </c>
      <c r="G114" s="18">
        <f t="shared" si="22"/>
        <v>60212823.449999809</v>
      </c>
      <c r="H114" s="19">
        <f t="shared" si="23"/>
        <v>1.6344397856758151E-2</v>
      </c>
      <c r="I114" s="18">
        <f t="shared" si="24"/>
        <v>-122399452.3499999</v>
      </c>
      <c r="J114" s="19">
        <f t="shared" si="25"/>
        <v>-3.2690270191490518E-2</v>
      </c>
      <c r="L114" s="6" t="s">
        <v>633</v>
      </c>
      <c r="M114" s="20" t="s">
        <v>634</v>
      </c>
      <c r="N114" s="17">
        <f>VLOOKUP(L114,PL!$A:$S,$C$1+3,FALSE)</f>
        <v>61477.91</v>
      </c>
      <c r="O114" s="17">
        <f>VLOOKUP(L114,PL!$A:$S,$C$1+4,FALSE)</f>
        <v>1443498.24</v>
      </c>
      <c r="P114" s="17">
        <f>VLOOKUP(L114,PL!$A:$S,$C$1+5,FALSE)</f>
        <v>1069000</v>
      </c>
      <c r="Q114" s="18">
        <f t="shared" si="26"/>
        <v>1382020.33</v>
      </c>
      <c r="R114" s="19">
        <f t="shared" si="27"/>
        <v>22.479949790095336</v>
      </c>
      <c r="S114" s="18">
        <f t="shared" si="28"/>
        <v>-374498.24</v>
      </c>
      <c r="T114" s="19">
        <f t="shared" si="29"/>
        <v>-0.25943796093578886</v>
      </c>
    </row>
    <row r="115" spans="2:20" x14ac:dyDescent="0.4">
      <c r="B115" s="6" t="s">
        <v>240</v>
      </c>
      <c r="C115" s="20" t="s">
        <v>241</v>
      </c>
      <c r="D115" s="17">
        <f>VLOOKUP(B115,BS!$A:$S,18,FALSE)-VLOOKUP(B115,BS!$A:$S,$C$1+5,FALSE)-VLOOKUP(B115,BS!$A:$S,$C$1+4,FALSE)</f>
        <v>2946602140.75</v>
      </c>
      <c r="E115" s="17">
        <f>VLOOKUP(B115,BS!$A:$S,18,FALSE)-VLOOKUP(B115,BS!$A:$S,$C$1+5,FALSE)</f>
        <v>3002565609.8699999</v>
      </c>
      <c r="F115" s="17">
        <f>VLOOKUP(B115,BS!$A:$S,18,FALSE)</f>
        <v>2928861217.1399999</v>
      </c>
      <c r="G115" s="18">
        <f t="shared" si="22"/>
        <v>55963469.119999886</v>
      </c>
      <c r="H115" s="19">
        <f t="shared" si="23"/>
        <v>1.8992543426903055E-2</v>
      </c>
      <c r="I115" s="18">
        <f t="shared" si="24"/>
        <v>-73704392.730000019</v>
      </c>
      <c r="J115" s="19">
        <f t="shared" si="25"/>
        <v>-2.4547138116722503E-2</v>
      </c>
      <c r="L115" s="6" t="s">
        <v>635</v>
      </c>
      <c r="M115" s="20" t="s">
        <v>636</v>
      </c>
      <c r="N115" s="17">
        <f>VLOOKUP(L115,PL!$A:$S,$C$1+3,FALSE)</f>
        <v>33655547.07</v>
      </c>
      <c r="O115" s="17">
        <f>VLOOKUP(L115,PL!$A:$S,$C$1+4,FALSE)</f>
        <v>86106388.609999999</v>
      </c>
      <c r="P115" s="17">
        <f>VLOOKUP(L115,PL!$A:$S,$C$1+5,FALSE)</f>
        <v>-36934055.159999996</v>
      </c>
      <c r="Q115" s="18">
        <f t="shared" si="26"/>
        <v>52450841.539999999</v>
      </c>
      <c r="R115" s="19">
        <f t="shared" si="27"/>
        <v>1.558460524528327</v>
      </c>
      <c r="S115" s="18">
        <f t="shared" si="28"/>
        <v>-123040443.77</v>
      </c>
      <c r="T115" s="19">
        <f t="shared" si="29"/>
        <v>-1.428935131948045</v>
      </c>
    </row>
    <row r="116" spans="2:20" x14ac:dyDescent="0.4">
      <c r="B116" s="6" t="s">
        <v>242</v>
      </c>
      <c r="C116" s="20" t="s">
        <v>243</v>
      </c>
      <c r="D116" s="17">
        <f>VLOOKUP(B116,BS!$A:$S,18,FALSE)-VLOOKUP(B116,BS!$A:$S,$C$1+5,FALSE)-VLOOKUP(B116,BS!$A:$S,$C$1+4,FALSE)</f>
        <v>0</v>
      </c>
      <c r="E116" s="17">
        <f>VLOOKUP(B116,BS!$A:$S,18,FALSE)-VLOOKUP(B116,BS!$A:$S,$C$1+5,FALSE)</f>
        <v>0</v>
      </c>
      <c r="F116" s="17">
        <f>VLOOKUP(B116,BS!$A:$S,18,FALSE)</f>
        <v>0</v>
      </c>
      <c r="G116" s="18">
        <f t="shared" si="22"/>
        <v>0</v>
      </c>
      <c r="H116" s="19">
        <f t="shared" si="23"/>
        <v>0</v>
      </c>
      <c r="I116" s="18">
        <f t="shared" si="24"/>
        <v>0</v>
      </c>
      <c r="J116" s="19">
        <f t="shared" si="25"/>
        <v>0</v>
      </c>
      <c r="L116" s="6" t="s">
        <v>637</v>
      </c>
      <c r="M116" s="20" t="s">
        <v>638</v>
      </c>
      <c r="N116" s="17">
        <f>VLOOKUP(L116,PL!$A:$S,$C$1+3,FALSE)</f>
        <v>0</v>
      </c>
      <c r="O116" s="17">
        <f>VLOOKUP(L116,PL!$A:$S,$C$1+4,FALSE)</f>
        <v>0</v>
      </c>
      <c r="P116" s="17">
        <f>VLOOKUP(L116,PL!$A:$S,$C$1+5,FALSE)</f>
        <v>0</v>
      </c>
      <c r="Q116" s="18">
        <f t="shared" si="26"/>
        <v>0</v>
      </c>
      <c r="R116" s="19">
        <f t="shared" si="27"/>
        <v>0</v>
      </c>
      <c r="S116" s="18">
        <f t="shared" si="28"/>
        <v>0</v>
      </c>
      <c r="T116" s="19">
        <f t="shared" si="29"/>
        <v>0</v>
      </c>
    </row>
    <row r="117" spans="2:20" x14ac:dyDescent="0.4">
      <c r="B117" s="6" t="s">
        <v>244</v>
      </c>
      <c r="C117" s="20" t="s">
        <v>245</v>
      </c>
      <c r="D117" s="17">
        <f>VLOOKUP(B117,BS!$A:$S,18,FALSE)-VLOOKUP(B117,BS!$A:$S,$C$1+5,FALSE)-VLOOKUP(B117,BS!$A:$S,$C$1+4,FALSE)</f>
        <v>0</v>
      </c>
      <c r="E117" s="17">
        <f>VLOOKUP(B117,BS!$A:$S,18,FALSE)-VLOOKUP(B117,BS!$A:$S,$C$1+5,FALSE)</f>
        <v>0</v>
      </c>
      <c r="F117" s="17">
        <f>VLOOKUP(B117,BS!$A:$S,18,FALSE)</f>
        <v>0</v>
      </c>
      <c r="G117" s="18">
        <f t="shared" si="22"/>
        <v>0</v>
      </c>
      <c r="H117" s="19">
        <f t="shared" si="23"/>
        <v>0</v>
      </c>
      <c r="I117" s="18">
        <f t="shared" si="24"/>
        <v>0</v>
      </c>
      <c r="J117" s="19">
        <f t="shared" si="25"/>
        <v>0</v>
      </c>
      <c r="L117" s="6" t="s">
        <v>639</v>
      </c>
      <c r="M117" s="20" t="s">
        <v>640</v>
      </c>
      <c r="N117" s="17">
        <f>VLOOKUP(L117,PL!$A:$S,$C$1+3,FALSE)</f>
        <v>0</v>
      </c>
      <c r="O117" s="17">
        <f>VLOOKUP(L117,PL!$A:$S,$C$1+4,FALSE)</f>
        <v>0</v>
      </c>
      <c r="P117" s="17">
        <f>VLOOKUP(L117,PL!$A:$S,$C$1+5,FALSE)</f>
        <v>0</v>
      </c>
      <c r="Q117" s="18">
        <f t="shared" si="26"/>
        <v>0</v>
      </c>
      <c r="R117" s="19">
        <f t="shared" si="27"/>
        <v>0</v>
      </c>
      <c r="S117" s="18">
        <f t="shared" si="28"/>
        <v>0</v>
      </c>
      <c r="T117" s="19">
        <f t="shared" si="29"/>
        <v>0</v>
      </c>
    </row>
    <row r="118" spans="2:20" x14ac:dyDescent="0.4">
      <c r="B118" s="6" t="s">
        <v>246</v>
      </c>
      <c r="C118" s="20" t="s">
        <v>247</v>
      </c>
      <c r="D118" s="17">
        <f>VLOOKUP(B118,BS!$A:$S,18,FALSE)-VLOOKUP(B118,BS!$A:$S,$C$1+5,FALSE)-VLOOKUP(B118,BS!$A:$S,$C$1+4,FALSE)</f>
        <v>0</v>
      </c>
      <c r="E118" s="17">
        <f>VLOOKUP(B118,BS!$A:$S,18,FALSE)-VLOOKUP(B118,BS!$A:$S,$C$1+5,FALSE)</f>
        <v>0</v>
      </c>
      <c r="F118" s="17">
        <f>VLOOKUP(B118,BS!$A:$S,18,FALSE)</f>
        <v>0</v>
      </c>
      <c r="G118" s="18">
        <f t="shared" si="22"/>
        <v>0</v>
      </c>
      <c r="H118" s="19">
        <f t="shared" si="23"/>
        <v>0</v>
      </c>
      <c r="I118" s="18">
        <f t="shared" si="24"/>
        <v>0</v>
      </c>
      <c r="J118" s="19">
        <f t="shared" si="25"/>
        <v>0</v>
      </c>
      <c r="L118" s="6" t="s">
        <v>641</v>
      </c>
      <c r="M118" s="20" t="s">
        <v>642</v>
      </c>
      <c r="N118" s="17">
        <f>VLOOKUP(L118,PL!$A:$S,$C$1+3,FALSE)</f>
        <v>0</v>
      </c>
      <c r="O118" s="17">
        <f>VLOOKUP(L118,PL!$A:$S,$C$1+4,FALSE)</f>
        <v>0</v>
      </c>
      <c r="P118" s="17">
        <f>VLOOKUP(L118,PL!$A:$S,$C$1+5,FALSE)</f>
        <v>0</v>
      </c>
      <c r="Q118" s="18">
        <f t="shared" si="26"/>
        <v>0</v>
      </c>
      <c r="R118" s="19">
        <f t="shared" si="27"/>
        <v>0</v>
      </c>
      <c r="S118" s="18">
        <f t="shared" si="28"/>
        <v>0</v>
      </c>
      <c r="T118" s="19">
        <f t="shared" si="29"/>
        <v>0</v>
      </c>
    </row>
    <row r="119" spans="2:20" x14ac:dyDescent="0.4">
      <c r="B119" s="6" t="s">
        <v>248</v>
      </c>
      <c r="C119" s="20" t="s">
        <v>249</v>
      </c>
      <c r="D119" s="17">
        <f>VLOOKUP(B119,BS!$A:$S,18,FALSE)-VLOOKUP(B119,BS!$A:$S,$C$1+5,FALSE)-VLOOKUP(B119,BS!$A:$S,$C$1+4,FALSE)</f>
        <v>0</v>
      </c>
      <c r="E119" s="17">
        <f>VLOOKUP(B119,BS!$A:$S,18,FALSE)-VLOOKUP(B119,BS!$A:$S,$C$1+5,FALSE)</f>
        <v>0</v>
      </c>
      <c r="F119" s="17">
        <f>VLOOKUP(B119,BS!$A:$S,18,FALSE)</f>
        <v>0</v>
      </c>
      <c r="G119" s="18">
        <f t="shared" si="22"/>
        <v>0</v>
      </c>
      <c r="H119" s="19">
        <f t="shared" si="23"/>
        <v>0</v>
      </c>
      <c r="I119" s="18">
        <f t="shared" si="24"/>
        <v>0</v>
      </c>
      <c r="J119" s="19">
        <f t="shared" si="25"/>
        <v>0</v>
      </c>
      <c r="L119" s="6" t="s">
        <v>643</v>
      </c>
      <c r="M119" s="20" t="s">
        <v>644</v>
      </c>
      <c r="N119" s="17">
        <f>VLOOKUP(L119,PL!$A:$S,$C$1+3,FALSE)</f>
        <v>0</v>
      </c>
      <c r="O119" s="17">
        <f>VLOOKUP(L119,PL!$A:$S,$C$1+4,FALSE)</f>
        <v>0</v>
      </c>
      <c r="P119" s="17">
        <f>VLOOKUP(L119,PL!$A:$S,$C$1+5,FALSE)</f>
        <v>0</v>
      </c>
      <c r="Q119" s="18">
        <f t="shared" si="26"/>
        <v>0</v>
      </c>
      <c r="R119" s="19">
        <f t="shared" si="27"/>
        <v>0</v>
      </c>
      <c r="S119" s="18">
        <f t="shared" si="28"/>
        <v>0</v>
      </c>
      <c r="T119" s="19">
        <f t="shared" si="29"/>
        <v>0</v>
      </c>
    </row>
    <row r="120" spans="2:20" x14ac:dyDescent="0.4">
      <c r="B120" s="6" t="s">
        <v>250</v>
      </c>
      <c r="C120" s="20" t="s">
        <v>251</v>
      </c>
      <c r="D120" s="17">
        <f>VLOOKUP(B120,BS!$A:$S,18,FALSE)-VLOOKUP(B120,BS!$A:$S,$C$1+5,FALSE)-VLOOKUP(B120,BS!$A:$S,$C$1+4,FALSE)</f>
        <v>0</v>
      </c>
      <c r="E120" s="17">
        <f>VLOOKUP(B120,BS!$A:$S,18,FALSE)-VLOOKUP(B120,BS!$A:$S,$C$1+5,FALSE)</f>
        <v>0</v>
      </c>
      <c r="F120" s="17">
        <f>VLOOKUP(B120,BS!$A:$S,18,FALSE)</f>
        <v>0</v>
      </c>
      <c r="G120" s="18">
        <f t="shared" si="22"/>
        <v>0</v>
      </c>
      <c r="H120" s="19">
        <f t="shared" si="23"/>
        <v>0</v>
      </c>
      <c r="I120" s="18">
        <f t="shared" si="24"/>
        <v>0</v>
      </c>
      <c r="J120" s="19">
        <f t="shared" si="25"/>
        <v>0</v>
      </c>
      <c r="L120" s="6" t="s">
        <v>645</v>
      </c>
      <c r="M120" s="20" t="s">
        <v>646</v>
      </c>
      <c r="N120" s="17">
        <f>VLOOKUP(L120,PL!$A:$S,$C$1+3,FALSE)</f>
        <v>0</v>
      </c>
      <c r="O120" s="17">
        <f>VLOOKUP(L120,PL!$A:$S,$C$1+4,FALSE)</f>
        <v>0</v>
      </c>
      <c r="P120" s="17">
        <f>VLOOKUP(L120,PL!$A:$S,$C$1+5,FALSE)</f>
        <v>0</v>
      </c>
      <c r="Q120" s="18">
        <f t="shared" si="26"/>
        <v>0</v>
      </c>
      <c r="R120" s="19">
        <f t="shared" si="27"/>
        <v>0</v>
      </c>
      <c r="S120" s="18">
        <f t="shared" si="28"/>
        <v>0</v>
      </c>
      <c r="T120" s="19">
        <f t="shared" si="29"/>
        <v>0</v>
      </c>
    </row>
    <row r="121" spans="2:20" x14ac:dyDescent="0.4">
      <c r="B121" s="6" t="s">
        <v>252</v>
      </c>
      <c r="C121" s="20" t="s">
        <v>253</v>
      </c>
      <c r="D121" s="17">
        <f>VLOOKUP(B121,BS!$A:$S,18,FALSE)-VLOOKUP(B121,BS!$A:$S,$C$1+5,FALSE)-VLOOKUP(B121,BS!$A:$S,$C$1+4,FALSE)</f>
        <v>0</v>
      </c>
      <c r="E121" s="17">
        <f>VLOOKUP(B121,BS!$A:$S,18,FALSE)-VLOOKUP(B121,BS!$A:$S,$C$1+5,FALSE)</f>
        <v>0</v>
      </c>
      <c r="F121" s="17">
        <f>VLOOKUP(B121,BS!$A:$S,18,FALSE)</f>
        <v>0</v>
      </c>
      <c r="G121" s="18">
        <f t="shared" si="22"/>
        <v>0</v>
      </c>
      <c r="H121" s="19">
        <f t="shared" si="23"/>
        <v>0</v>
      </c>
      <c r="I121" s="18">
        <f t="shared" si="24"/>
        <v>0</v>
      </c>
      <c r="J121" s="19">
        <f t="shared" si="25"/>
        <v>0</v>
      </c>
      <c r="L121" s="6" t="s">
        <v>647</v>
      </c>
      <c r="M121" s="20" t="s">
        <v>648</v>
      </c>
      <c r="N121" s="17">
        <f>VLOOKUP(L121,PL!$A:$S,$C$1+3,FALSE)</f>
        <v>0</v>
      </c>
      <c r="O121" s="17">
        <f>VLOOKUP(L121,PL!$A:$S,$C$1+4,FALSE)</f>
        <v>0</v>
      </c>
      <c r="P121" s="17">
        <f>VLOOKUP(L121,PL!$A:$S,$C$1+5,FALSE)</f>
        <v>0</v>
      </c>
      <c r="Q121" s="18">
        <f t="shared" si="26"/>
        <v>0</v>
      </c>
      <c r="R121" s="19">
        <f t="shared" si="27"/>
        <v>0</v>
      </c>
      <c r="S121" s="18">
        <f t="shared" si="28"/>
        <v>0</v>
      </c>
      <c r="T121" s="19">
        <f t="shared" si="29"/>
        <v>0</v>
      </c>
    </row>
    <row r="122" spans="2:20" x14ac:dyDescent="0.4">
      <c r="B122" s="6" t="s">
        <v>254</v>
      </c>
      <c r="C122" s="20" t="s">
        <v>255</v>
      </c>
      <c r="D122" s="17">
        <f>VLOOKUP(B122,BS!$A:$S,18,FALSE)-VLOOKUP(B122,BS!$A:$S,$C$1+5,FALSE)-VLOOKUP(B122,BS!$A:$S,$C$1+4,FALSE)</f>
        <v>0</v>
      </c>
      <c r="E122" s="17">
        <f>VLOOKUP(B122,BS!$A:$S,18,FALSE)-VLOOKUP(B122,BS!$A:$S,$C$1+5,FALSE)</f>
        <v>0</v>
      </c>
      <c r="F122" s="17">
        <f>VLOOKUP(B122,BS!$A:$S,18,FALSE)</f>
        <v>0</v>
      </c>
      <c r="G122" s="18">
        <f t="shared" si="22"/>
        <v>0</v>
      </c>
      <c r="H122" s="19">
        <f t="shared" si="23"/>
        <v>0</v>
      </c>
      <c r="I122" s="18">
        <f t="shared" si="24"/>
        <v>0</v>
      </c>
      <c r="J122" s="19">
        <f t="shared" si="25"/>
        <v>0</v>
      </c>
      <c r="L122" s="6" t="s">
        <v>649</v>
      </c>
      <c r="M122" s="20" t="s">
        <v>650</v>
      </c>
      <c r="N122" s="17">
        <f>VLOOKUP(L122,PL!$A:$S,$C$1+3,FALSE)</f>
        <v>0</v>
      </c>
      <c r="O122" s="17">
        <f>VLOOKUP(L122,PL!$A:$S,$C$1+4,FALSE)</f>
        <v>0</v>
      </c>
      <c r="P122" s="17">
        <f>VLOOKUP(L122,PL!$A:$S,$C$1+5,FALSE)</f>
        <v>0</v>
      </c>
      <c r="Q122" s="18">
        <f t="shared" si="26"/>
        <v>0</v>
      </c>
      <c r="R122" s="19">
        <f t="shared" si="27"/>
        <v>0</v>
      </c>
      <c r="S122" s="18">
        <f t="shared" si="28"/>
        <v>0</v>
      </c>
      <c r="T122" s="19">
        <f t="shared" si="29"/>
        <v>0</v>
      </c>
    </row>
    <row r="123" spans="2:20" x14ac:dyDescent="0.4">
      <c r="B123" s="6" t="s">
        <v>256</v>
      </c>
      <c r="C123" s="20" t="s">
        <v>257</v>
      </c>
      <c r="D123" s="17">
        <f>VLOOKUP(B123,BS!$A:$S,18,FALSE)-VLOOKUP(B123,BS!$A:$S,$C$1+5,FALSE)-VLOOKUP(B123,BS!$A:$S,$C$1+4,FALSE)</f>
        <v>0</v>
      </c>
      <c r="E123" s="17">
        <f>VLOOKUP(B123,BS!$A:$S,18,FALSE)-VLOOKUP(B123,BS!$A:$S,$C$1+5,FALSE)</f>
        <v>0</v>
      </c>
      <c r="F123" s="17">
        <f>VLOOKUP(B123,BS!$A:$S,18,FALSE)</f>
        <v>0</v>
      </c>
      <c r="G123" s="18">
        <f t="shared" si="22"/>
        <v>0</v>
      </c>
      <c r="H123" s="19">
        <f t="shared" si="23"/>
        <v>0</v>
      </c>
      <c r="I123" s="18">
        <f t="shared" si="24"/>
        <v>0</v>
      </c>
      <c r="J123" s="19">
        <f t="shared" si="25"/>
        <v>0</v>
      </c>
      <c r="L123" s="6" t="s">
        <v>651</v>
      </c>
      <c r="M123" s="20" t="s">
        <v>652</v>
      </c>
      <c r="N123" s="17">
        <f>VLOOKUP(L123,PL!$A:$S,$C$1+3,FALSE)</f>
        <v>0</v>
      </c>
      <c r="O123" s="17">
        <f>VLOOKUP(L123,PL!$A:$S,$C$1+4,FALSE)</f>
        <v>0</v>
      </c>
      <c r="P123" s="17">
        <f>VLOOKUP(L123,PL!$A:$S,$C$1+5,FALSE)</f>
        <v>0</v>
      </c>
      <c r="Q123" s="18">
        <f t="shared" si="26"/>
        <v>0</v>
      </c>
      <c r="R123" s="19">
        <f t="shared" si="27"/>
        <v>0</v>
      </c>
      <c r="S123" s="18">
        <f t="shared" si="28"/>
        <v>0</v>
      </c>
      <c r="T123" s="19">
        <f t="shared" si="29"/>
        <v>0</v>
      </c>
    </row>
    <row r="124" spans="2:20" x14ac:dyDescent="0.4">
      <c r="B124" s="6" t="s">
        <v>258</v>
      </c>
      <c r="C124" s="20" t="s">
        <v>259</v>
      </c>
      <c r="D124" s="17">
        <f>VLOOKUP(B124,BS!$A:$S,18,FALSE)-VLOOKUP(B124,BS!$A:$S,$C$1+5,FALSE)-VLOOKUP(B124,BS!$A:$S,$C$1+4,FALSE)</f>
        <v>0</v>
      </c>
      <c r="E124" s="17">
        <f>VLOOKUP(B124,BS!$A:$S,18,FALSE)-VLOOKUP(B124,BS!$A:$S,$C$1+5,FALSE)</f>
        <v>0</v>
      </c>
      <c r="F124" s="17">
        <f>VLOOKUP(B124,BS!$A:$S,18,FALSE)</f>
        <v>0</v>
      </c>
      <c r="G124" s="18">
        <f t="shared" si="22"/>
        <v>0</v>
      </c>
      <c r="H124" s="19">
        <f t="shared" si="23"/>
        <v>0</v>
      </c>
      <c r="I124" s="18">
        <f t="shared" si="24"/>
        <v>0</v>
      </c>
      <c r="J124" s="19">
        <f t="shared" si="25"/>
        <v>0</v>
      </c>
      <c r="K124" s="31"/>
      <c r="L124" s="6" t="s">
        <v>653</v>
      </c>
      <c r="M124" s="20" t="s">
        <v>654</v>
      </c>
      <c r="N124" s="17">
        <f>VLOOKUP(L124,PL!$A:$S,$C$1+3,FALSE)</f>
        <v>0</v>
      </c>
      <c r="O124" s="17">
        <f>VLOOKUP(L124,PL!$A:$S,$C$1+4,FALSE)</f>
        <v>0</v>
      </c>
      <c r="P124" s="17">
        <f>VLOOKUP(L124,PL!$A:$S,$C$1+5,FALSE)</f>
        <v>0</v>
      </c>
      <c r="Q124" s="18">
        <f t="shared" si="26"/>
        <v>0</v>
      </c>
      <c r="R124" s="19">
        <f t="shared" si="27"/>
        <v>0</v>
      </c>
      <c r="S124" s="18">
        <f t="shared" si="28"/>
        <v>0</v>
      </c>
      <c r="T124" s="19">
        <f t="shared" si="29"/>
        <v>0</v>
      </c>
    </row>
    <row r="125" spans="2:20" x14ac:dyDescent="0.4">
      <c r="B125" s="6" t="s">
        <v>260</v>
      </c>
      <c r="C125" s="20" t="s">
        <v>261</v>
      </c>
      <c r="D125" s="17">
        <f>VLOOKUP(B125,BS!$A:$S,18,FALSE)-VLOOKUP(B125,BS!$A:$S,$C$1+5,FALSE)-VLOOKUP(B125,BS!$A:$S,$C$1+4,FALSE)</f>
        <v>12594182.689999999</v>
      </c>
      <c r="E125" s="17">
        <f>VLOOKUP(B125,BS!$A:$S,18,FALSE)-VLOOKUP(B125,BS!$A:$S,$C$1+5,FALSE)</f>
        <v>528296.74000000022</v>
      </c>
      <c r="F125" s="17">
        <f>VLOOKUP(B125,BS!$A:$S,18,FALSE)</f>
        <v>9527872.1300000008</v>
      </c>
      <c r="G125" s="18">
        <f t="shared" si="22"/>
        <v>-12065885.949999999</v>
      </c>
      <c r="H125" s="19">
        <f t="shared" si="23"/>
        <v>-0.95805232042413702</v>
      </c>
      <c r="I125" s="18">
        <f t="shared" si="24"/>
        <v>8999575.3900000006</v>
      </c>
      <c r="J125" s="19">
        <f t="shared" si="25"/>
        <v>17.035076517791868</v>
      </c>
      <c r="K125" s="32" t="s">
        <v>727</v>
      </c>
      <c r="L125" s="6" t="s">
        <v>655</v>
      </c>
      <c r="M125" s="20" t="s">
        <v>656</v>
      </c>
      <c r="N125" s="17">
        <f>VLOOKUP(L125,PL!$A:$S,$C$1+3,FALSE)</f>
        <v>0</v>
      </c>
      <c r="O125" s="17">
        <f>VLOOKUP(L125,PL!$A:$S,$C$1+4,FALSE)</f>
        <v>0</v>
      </c>
      <c r="P125" s="17">
        <f>VLOOKUP(L125,PL!$A:$S,$C$1+5,FALSE)</f>
        <v>0</v>
      </c>
      <c r="Q125" s="18">
        <f t="shared" si="26"/>
        <v>0</v>
      </c>
      <c r="R125" s="19">
        <f t="shared" si="27"/>
        <v>0</v>
      </c>
      <c r="S125" s="18">
        <f t="shared" si="28"/>
        <v>0</v>
      </c>
      <c r="T125" s="19">
        <f t="shared" si="29"/>
        <v>0</v>
      </c>
    </row>
    <row r="126" spans="2:20" x14ac:dyDescent="0.4">
      <c r="B126" s="6" t="s">
        <v>262</v>
      </c>
      <c r="C126" s="20" t="s">
        <v>263</v>
      </c>
      <c r="D126" s="17">
        <f>VLOOKUP(B126,BS!$A:$S,18,FALSE)-VLOOKUP(B126,BS!$A:$S,$C$1+5,FALSE)-VLOOKUP(B126,BS!$A:$S,$C$1+4,FALSE)</f>
        <v>446346469.40999997</v>
      </c>
      <c r="E126" s="17">
        <f>VLOOKUP(B126,BS!$A:$S,18,FALSE)-VLOOKUP(B126,BS!$A:$S,$C$1+5,FALSE)</f>
        <v>456274195.45999998</v>
      </c>
      <c r="F126" s="17">
        <f>VLOOKUP(B126,BS!$A:$S,18,FALSE)</f>
        <v>407858133.06</v>
      </c>
      <c r="G126" s="18">
        <f t="shared" si="22"/>
        <v>9927726.0500000119</v>
      </c>
      <c r="H126" s="19">
        <f t="shared" si="23"/>
        <v>2.2242196881545651E-2</v>
      </c>
      <c r="I126" s="18">
        <f t="shared" si="24"/>
        <v>-48416062.399999976</v>
      </c>
      <c r="J126" s="19">
        <f t="shared" si="25"/>
        <v>-0.10611176981242292</v>
      </c>
      <c r="L126" s="6" t="s">
        <v>657</v>
      </c>
      <c r="M126" s="20" t="s">
        <v>658</v>
      </c>
      <c r="N126" s="17">
        <f>VLOOKUP(L126,PL!$A:$S,$C$1+3,FALSE)</f>
        <v>0</v>
      </c>
      <c r="O126" s="17">
        <f>VLOOKUP(L126,PL!$A:$S,$C$1+4,FALSE)</f>
        <v>0</v>
      </c>
      <c r="P126" s="17">
        <f>VLOOKUP(L126,PL!$A:$S,$C$1+5,FALSE)</f>
        <v>0</v>
      </c>
      <c r="Q126" s="18">
        <f t="shared" si="26"/>
        <v>0</v>
      </c>
      <c r="R126" s="19">
        <f t="shared" si="27"/>
        <v>0</v>
      </c>
      <c r="S126" s="18">
        <f t="shared" si="28"/>
        <v>0</v>
      </c>
      <c r="T126" s="19">
        <f t="shared" si="29"/>
        <v>0</v>
      </c>
    </row>
    <row r="127" spans="2:20" x14ac:dyDescent="0.4">
      <c r="B127" s="6" t="s">
        <v>264</v>
      </c>
      <c r="C127" s="20" t="s">
        <v>265</v>
      </c>
      <c r="D127" s="17">
        <f>VLOOKUP(B127,BS!$A:$S,18,FALSE)-VLOOKUP(B127,BS!$A:$S,$C$1+5,FALSE)-VLOOKUP(B127,BS!$A:$S,$C$1+4,FALSE)</f>
        <v>0</v>
      </c>
      <c r="E127" s="17">
        <f>VLOOKUP(B127,BS!$A:$S,18,FALSE)-VLOOKUP(B127,BS!$A:$S,$C$1+5,FALSE)</f>
        <v>0</v>
      </c>
      <c r="F127" s="17">
        <f>VLOOKUP(B127,BS!$A:$S,18,FALSE)</f>
        <v>0</v>
      </c>
      <c r="G127" s="18">
        <f t="shared" si="22"/>
        <v>0</v>
      </c>
      <c r="H127" s="19">
        <f t="shared" si="23"/>
        <v>0</v>
      </c>
      <c r="I127" s="18">
        <f t="shared" si="24"/>
        <v>0</v>
      </c>
      <c r="J127" s="19">
        <f t="shared" si="25"/>
        <v>0</v>
      </c>
      <c r="L127" s="6" t="s">
        <v>659</v>
      </c>
      <c r="M127" s="20" t="s">
        <v>660</v>
      </c>
      <c r="N127" s="17">
        <f>VLOOKUP(L127,PL!$A:$S,$C$1+3,FALSE)</f>
        <v>0</v>
      </c>
      <c r="O127" s="17">
        <f>VLOOKUP(L127,PL!$A:$S,$C$1+4,FALSE)</f>
        <v>0</v>
      </c>
      <c r="P127" s="17">
        <f>VLOOKUP(L127,PL!$A:$S,$C$1+5,FALSE)</f>
        <v>0</v>
      </c>
      <c r="Q127" s="18">
        <f t="shared" si="26"/>
        <v>0</v>
      </c>
      <c r="R127" s="19">
        <f t="shared" si="27"/>
        <v>0</v>
      </c>
      <c r="S127" s="18">
        <f t="shared" si="28"/>
        <v>0</v>
      </c>
      <c r="T127" s="19">
        <f t="shared" si="29"/>
        <v>0</v>
      </c>
    </row>
    <row r="128" spans="2:20" x14ac:dyDescent="0.4">
      <c r="B128" s="6" t="s">
        <v>266</v>
      </c>
      <c r="C128" s="20" t="s">
        <v>267</v>
      </c>
      <c r="D128" s="17">
        <f>VLOOKUP(B128,BS!$A:$S,18,FALSE)-VLOOKUP(B128,BS!$A:$S,$C$1+5,FALSE)-VLOOKUP(B128,BS!$A:$S,$C$1+4,FALSE)</f>
        <v>81797521.319999993</v>
      </c>
      <c r="E128" s="17">
        <f>VLOOKUP(B128,BS!$A:$S,18,FALSE)-VLOOKUP(B128,BS!$A:$S,$C$1+5,FALSE)</f>
        <v>83063443.319999993</v>
      </c>
      <c r="F128" s="17">
        <f>VLOOKUP(B128,BS!$A:$S,18,FALSE)</f>
        <v>84301390.319999993</v>
      </c>
      <c r="G128" s="18">
        <f t="shared" si="22"/>
        <v>1265922</v>
      </c>
      <c r="H128" s="19">
        <f t="shared" si="23"/>
        <v>1.5476288028919458E-2</v>
      </c>
      <c r="I128" s="18">
        <f t="shared" si="24"/>
        <v>1237947</v>
      </c>
      <c r="J128" s="19">
        <f t="shared" si="25"/>
        <v>1.4903632097586394E-2</v>
      </c>
      <c r="L128" s="6" t="s">
        <v>661</v>
      </c>
      <c r="M128" s="20" t="s">
        <v>662</v>
      </c>
      <c r="N128" s="17">
        <f>VLOOKUP(L128,PL!$A:$S,$C$1+3,FALSE)</f>
        <v>0</v>
      </c>
      <c r="O128" s="17">
        <f>VLOOKUP(L128,PL!$A:$S,$C$1+4,FALSE)</f>
        <v>0</v>
      </c>
      <c r="P128" s="17">
        <f>VLOOKUP(L128,PL!$A:$S,$C$1+5,FALSE)</f>
        <v>3699702.55</v>
      </c>
      <c r="Q128" s="18">
        <f t="shared" si="26"/>
        <v>0</v>
      </c>
      <c r="R128" s="19">
        <f t="shared" si="27"/>
        <v>0</v>
      </c>
      <c r="S128" s="18">
        <f t="shared" si="28"/>
        <v>3699702.55</v>
      </c>
      <c r="T128" s="19">
        <f t="shared" si="29"/>
        <v>0</v>
      </c>
    </row>
    <row r="129" spans="2:20" x14ac:dyDescent="0.4">
      <c r="B129" s="6" t="s">
        <v>268</v>
      </c>
      <c r="C129" s="20" t="s">
        <v>269</v>
      </c>
      <c r="D129" s="17">
        <f>VLOOKUP(B129,BS!$A:$S,18,FALSE)-VLOOKUP(B129,BS!$A:$S,$C$1+5,FALSE)-VLOOKUP(B129,BS!$A:$S,$C$1+4,FALSE)</f>
        <v>146772900.56</v>
      </c>
      <c r="E129" s="17">
        <f>VLOOKUP(B129,BS!$A:$S,18,FALSE)-VLOOKUP(B129,BS!$A:$S,$C$1+5,FALSE)</f>
        <v>149617526.55000001</v>
      </c>
      <c r="F129" s="17">
        <f>VLOOKUP(B129,BS!$A:$S,18,FALSE)</f>
        <v>137098030.28</v>
      </c>
      <c r="G129" s="18">
        <f t="shared" si="22"/>
        <v>2844625.9900000095</v>
      </c>
      <c r="H129" s="19">
        <f t="shared" si="23"/>
        <v>1.9381139019168877E-2</v>
      </c>
      <c r="I129" s="18">
        <f t="shared" si="24"/>
        <v>-12519496.270000011</v>
      </c>
      <c r="J129" s="19">
        <f t="shared" si="25"/>
        <v>-8.3676669162260048E-2</v>
      </c>
      <c r="L129" s="6" t="s">
        <v>663</v>
      </c>
      <c r="M129" s="20" t="s">
        <v>664</v>
      </c>
      <c r="N129" s="17">
        <f>VLOOKUP(L129,PL!$A:$S,$C$1+3,FALSE)</f>
        <v>0</v>
      </c>
      <c r="O129" s="17">
        <f>VLOOKUP(L129,PL!$A:$S,$C$1+4,FALSE)</f>
        <v>0</v>
      </c>
      <c r="P129" s="17">
        <f>VLOOKUP(L129,PL!$A:$S,$C$1+5,FALSE)</f>
        <v>0</v>
      </c>
      <c r="Q129" s="18">
        <f t="shared" si="26"/>
        <v>0</v>
      </c>
      <c r="R129" s="19">
        <f t="shared" si="27"/>
        <v>0</v>
      </c>
      <c r="S129" s="18">
        <f t="shared" si="28"/>
        <v>0</v>
      </c>
      <c r="T129" s="19">
        <f t="shared" si="29"/>
        <v>0</v>
      </c>
    </row>
    <row r="130" spans="2:20" x14ac:dyDescent="0.4">
      <c r="B130" s="6" t="s">
        <v>270</v>
      </c>
      <c r="C130" s="20" t="s">
        <v>271</v>
      </c>
      <c r="D130" s="17">
        <f>VLOOKUP(B130,BS!$A:$S,18,FALSE)-VLOOKUP(B130,BS!$A:$S,$C$1+5,FALSE)-VLOOKUP(B130,BS!$A:$S,$C$1+4,FALSE)</f>
        <v>0</v>
      </c>
      <c r="E130" s="17">
        <f>VLOOKUP(B130,BS!$A:$S,18,FALSE)-VLOOKUP(B130,BS!$A:$S,$C$1+5,FALSE)</f>
        <v>0</v>
      </c>
      <c r="F130" s="17">
        <f>VLOOKUP(B130,BS!$A:$S,18,FALSE)</f>
        <v>0</v>
      </c>
      <c r="G130" s="18">
        <f t="shared" si="22"/>
        <v>0</v>
      </c>
      <c r="H130" s="19">
        <f t="shared" si="23"/>
        <v>0</v>
      </c>
      <c r="I130" s="18">
        <f t="shared" si="24"/>
        <v>0</v>
      </c>
      <c r="J130" s="19">
        <f t="shared" si="25"/>
        <v>0</v>
      </c>
      <c r="L130" s="6" t="s">
        <v>665</v>
      </c>
      <c r="M130" s="20" t="s">
        <v>666</v>
      </c>
      <c r="N130" s="17">
        <f>VLOOKUP(L130,PL!$A:$S,$C$1+3,FALSE)</f>
        <v>0</v>
      </c>
      <c r="O130" s="17">
        <f>VLOOKUP(L130,PL!$A:$S,$C$1+4,FALSE)</f>
        <v>0</v>
      </c>
      <c r="P130" s="17">
        <f>VLOOKUP(L130,PL!$A:$S,$C$1+5,FALSE)</f>
        <v>0</v>
      </c>
      <c r="Q130" s="18">
        <f t="shared" si="26"/>
        <v>0</v>
      </c>
      <c r="R130" s="19">
        <f t="shared" si="27"/>
        <v>0</v>
      </c>
      <c r="S130" s="18">
        <f t="shared" si="28"/>
        <v>0</v>
      </c>
      <c r="T130" s="19">
        <f t="shared" si="29"/>
        <v>0</v>
      </c>
    </row>
    <row r="131" spans="2:20" x14ac:dyDescent="0.4">
      <c r="B131" s="6" t="s">
        <v>272</v>
      </c>
      <c r="C131" s="20" t="s">
        <v>273</v>
      </c>
      <c r="D131" s="17">
        <f>VLOOKUP(B131,BS!$A:$S,18,FALSE)-VLOOKUP(B131,BS!$A:$S,$C$1+5,FALSE)-VLOOKUP(B131,BS!$A:$S,$C$1+4,FALSE)</f>
        <v>0</v>
      </c>
      <c r="E131" s="17">
        <f>VLOOKUP(B131,BS!$A:$S,18,FALSE)-VLOOKUP(B131,BS!$A:$S,$C$1+5,FALSE)</f>
        <v>0</v>
      </c>
      <c r="F131" s="17">
        <f>VLOOKUP(B131,BS!$A:$S,18,FALSE)</f>
        <v>0</v>
      </c>
      <c r="G131" s="18">
        <f t="shared" si="22"/>
        <v>0</v>
      </c>
      <c r="H131" s="19">
        <f t="shared" si="23"/>
        <v>0</v>
      </c>
      <c r="I131" s="18">
        <f t="shared" si="24"/>
        <v>0</v>
      </c>
      <c r="J131" s="19">
        <f t="shared" si="25"/>
        <v>0</v>
      </c>
      <c r="L131" s="6" t="s">
        <v>667</v>
      </c>
      <c r="M131" s="20" t="s">
        <v>668</v>
      </c>
      <c r="N131" s="17">
        <f>VLOOKUP(L131,PL!$A:$S,$C$1+3,FALSE)</f>
        <v>0</v>
      </c>
      <c r="O131" s="17">
        <f>VLOOKUP(L131,PL!$A:$S,$C$1+4,FALSE)</f>
        <v>0</v>
      </c>
      <c r="P131" s="17">
        <f>VLOOKUP(L131,PL!$A:$S,$C$1+5,FALSE)</f>
        <v>0</v>
      </c>
      <c r="Q131" s="18">
        <f t="shared" si="26"/>
        <v>0</v>
      </c>
      <c r="R131" s="19">
        <f t="shared" si="27"/>
        <v>0</v>
      </c>
      <c r="S131" s="18">
        <f t="shared" si="28"/>
        <v>0</v>
      </c>
      <c r="T131" s="19">
        <f t="shared" si="29"/>
        <v>0</v>
      </c>
    </row>
    <row r="132" spans="2:20" x14ac:dyDescent="0.4">
      <c r="B132" s="6" t="s">
        <v>274</v>
      </c>
      <c r="C132" s="20" t="s">
        <v>275</v>
      </c>
      <c r="D132" s="17">
        <f>VLOOKUP(B132,BS!$A:$S,18,FALSE)-VLOOKUP(B132,BS!$A:$S,$C$1+5,FALSE)-VLOOKUP(B132,BS!$A:$S,$C$1+4,FALSE)</f>
        <v>11039143.060000001</v>
      </c>
      <c r="E132" s="17">
        <f>VLOOKUP(B132,BS!$A:$S,18,FALSE)-VLOOKUP(B132,BS!$A:$S,$C$1+5,FALSE)</f>
        <v>18500495.300000001</v>
      </c>
      <c r="F132" s="17">
        <f>VLOOKUP(B132,BS!$A:$S,18,FALSE)</f>
        <v>26936939.960000001</v>
      </c>
      <c r="G132" s="18">
        <f t="shared" si="22"/>
        <v>7461352.2400000002</v>
      </c>
      <c r="H132" s="19">
        <f t="shared" si="23"/>
        <v>0.6758995874449697</v>
      </c>
      <c r="I132" s="18">
        <f t="shared" si="24"/>
        <v>8436444.6600000001</v>
      </c>
      <c r="J132" s="19">
        <f t="shared" si="25"/>
        <v>0.45601182688335917</v>
      </c>
      <c r="L132" s="6" t="s">
        <v>669</v>
      </c>
      <c r="M132" s="20" t="s">
        <v>670</v>
      </c>
      <c r="N132" s="17">
        <f>VLOOKUP(L132,PL!$A:$S,$C$1+3,FALSE)</f>
        <v>0</v>
      </c>
      <c r="O132" s="17">
        <f>VLOOKUP(L132,PL!$A:$S,$C$1+4,FALSE)</f>
        <v>0</v>
      </c>
      <c r="P132" s="17">
        <f>VLOOKUP(L132,PL!$A:$S,$C$1+5,FALSE)</f>
        <v>0</v>
      </c>
      <c r="Q132" s="18">
        <f t="shared" si="26"/>
        <v>0</v>
      </c>
      <c r="R132" s="19">
        <f t="shared" si="27"/>
        <v>0</v>
      </c>
      <c r="S132" s="18">
        <f t="shared" si="28"/>
        <v>0</v>
      </c>
      <c r="T132" s="19">
        <f t="shared" si="29"/>
        <v>0</v>
      </c>
    </row>
    <row r="133" spans="2:20" x14ac:dyDescent="0.4">
      <c r="B133" s="6" t="s">
        <v>276</v>
      </c>
      <c r="C133" s="20" t="s">
        <v>277</v>
      </c>
      <c r="D133" s="17">
        <f>VLOOKUP(B133,BS!$A:$S,18,FALSE)-VLOOKUP(B133,BS!$A:$S,$C$1+5,FALSE)-VLOOKUP(B133,BS!$A:$S,$C$1+4,FALSE)</f>
        <v>0</v>
      </c>
      <c r="E133" s="17">
        <f>VLOOKUP(B133,BS!$A:$S,18,FALSE)-VLOOKUP(B133,BS!$A:$S,$C$1+5,FALSE)</f>
        <v>0</v>
      </c>
      <c r="F133" s="17">
        <f>VLOOKUP(B133,BS!$A:$S,18,FALSE)</f>
        <v>0</v>
      </c>
      <c r="G133" s="18">
        <f t="shared" ref="G133:G196" si="34">E133-D133</f>
        <v>0</v>
      </c>
      <c r="H133" s="19">
        <f t="shared" ref="H133:H196" si="35">IFERROR(G133/D133,0)</f>
        <v>0</v>
      </c>
      <c r="I133" s="18">
        <f t="shared" ref="I133:I196" si="36">F133-E133</f>
        <v>0</v>
      </c>
      <c r="J133" s="19">
        <f t="shared" ref="J133:J196" si="37">IFERROR(I133/E133,0)</f>
        <v>0</v>
      </c>
      <c r="L133" s="6" t="s">
        <v>671</v>
      </c>
      <c r="M133" s="20" t="s">
        <v>672</v>
      </c>
      <c r="N133" s="17">
        <f>VLOOKUP(L133,PL!$A:$S,$C$1+3,FALSE)</f>
        <v>0</v>
      </c>
      <c r="O133" s="17">
        <f>VLOOKUP(L133,PL!$A:$S,$C$1+4,FALSE)</f>
        <v>0</v>
      </c>
      <c r="P133" s="17">
        <f>VLOOKUP(L133,PL!$A:$S,$C$1+5,FALSE)</f>
        <v>0</v>
      </c>
      <c r="Q133" s="18">
        <f t="shared" si="26"/>
        <v>0</v>
      </c>
      <c r="R133" s="19">
        <f t="shared" si="27"/>
        <v>0</v>
      </c>
      <c r="S133" s="18">
        <f t="shared" si="28"/>
        <v>0</v>
      </c>
      <c r="T133" s="19">
        <f t="shared" si="29"/>
        <v>0</v>
      </c>
    </row>
    <row r="134" spans="2:20" x14ac:dyDescent="0.4">
      <c r="B134" s="6" t="s">
        <v>278</v>
      </c>
      <c r="C134" s="20" t="s">
        <v>279</v>
      </c>
      <c r="D134" s="17">
        <f>VLOOKUP(B134,BS!$A:$S,18,FALSE)-VLOOKUP(B134,BS!$A:$S,$C$1+5,FALSE)-VLOOKUP(B134,BS!$A:$S,$C$1+4,FALSE)</f>
        <v>0</v>
      </c>
      <c r="E134" s="17">
        <f>VLOOKUP(B134,BS!$A:$S,18,FALSE)-VLOOKUP(B134,BS!$A:$S,$C$1+5,FALSE)</f>
        <v>0</v>
      </c>
      <c r="F134" s="17">
        <f>VLOOKUP(B134,BS!$A:$S,18,FALSE)</f>
        <v>0</v>
      </c>
      <c r="G134" s="18">
        <f t="shared" si="34"/>
        <v>0</v>
      </c>
      <c r="H134" s="19">
        <f t="shared" si="35"/>
        <v>0</v>
      </c>
      <c r="I134" s="18">
        <f t="shared" si="36"/>
        <v>0</v>
      </c>
      <c r="J134" s="19">
        <f t="shared" si="37"/>
        <v>0</v>
      </c>
      <c r="L134" s="6" t="s">
        <v>673</v>
      </c>
      <c r="M134" s="20" t="s">
        <v>674</v>
      </c>
      <c r="N134" s="17">
        <f>VLOOKUP(L134,PL!$A:$S,$C$1+3,FALSE)</f>
        <v>0</v>
      </c>
      <c r="O134" s="17">
        <f>VLOOKUP(L134,PL!$A:$S,$C$1+4,FALSE)</f>
        <v>0</v>
      </c>
      <c r="P134" s="17">
        <f>VLOOKUP(L134,PL!$A:$S,$C$1+5,FALSE)</f>
        <v>0</v>
      </c>
      <c r="Q134" s="18">
        <f t="shared" si="26"/>
        <v>0</v>
      </c>
      <c r="R134" s="19">
        <f t="shared" si="27"/>
        <v>0</v>
      </c>
      <c r="S134" s="18">
        <f t="shared" si="28"/>
        <v>0</v>
      </c>
      <c r="T134" s="19">
        <f t="shared" si="29"/>
        <v>0</v>
      </c>
    </row>
    <row r="135" spans="2:20" x14ac:dyDescent="0.4">
      <c r="B135" s="6" t="s">
        <v>280</v>
      </c>
      <c r="C135" s="20" t="s">
        <v>281</v>
      </c>
      <c r="D135" s="17">
        <f>VLOOKUP(B135,BS!$A:$S,18,FALSE)-VLOOKUP(B135,BS!$A:$S,$C$1+5,FALSE)-VLOOKUP(B135,BS!$A:$S,$C$1+4,FALSE)</f>
        <v>0</v>
      </c>
      <c r="E135" s="17">
        <f>VLOOKUP(B135,BS!$A:$S,18,FALSE)-VLOOKUP(B135,BS!$A:$S,$C$1+5,FALSE)</f>
        <v>0</v>
      </c>
      <c r="F135" s="17">
        <f>VLOOKUP(B135,BS!$A:$S,18,FALSE)</f>
        <v>0</v>
      </c>
      <c r="G135" s="18">
        <f t="shared" si="34"/>
        <v>0</v>
      </c>
      <c r="H135" s="19">
        <f t="shared" si="35"/>
        <v>0</v>
      </c>
      <c r="I135" s="18">
        <f t="shared" si="36"/>
        <v>0</v>
      </c>
      <c r="J135" s="19">
        <f t="shared" si="37"/>
        <v>0</v>
      </c>
      <c r="L135" s="6" t="s">
        <v>675</v>
      </c>
      <c r="M135" s="20" t="s">
        <v>676</v>
      </c>
      <c r="N135" s="17">
        <f>VLOOKUP(L135,PL!$A:$S,$C$1+3,FALSE)</f>
        <v>0</v>
      </c>
      <c r="O135" s="17">
        <f>VLOOKUP(L135,PL!$A:$S,$C$1+4,FALSE)</f>
        <v>0</v>
      </c>
      <c r="P135" s="17">
        <f>VLOOKUP(L135,PL!$A:$S,$C$1+5,FALSE)</f>
        <v>0</v>
      </c>
      <c r="Q135" s="18">
        <f t="shared" si="26"/>
        <v>0</v>
      </c>
      <c r="R135" s="19">
        <f t="shared" si="27"/>
        <v>0</v>
      </c>
      <c r="S135" s="18">
        <f t="shared" si="28"/>
        <v>0</v>
      </c>
      <c r="T135" s="19">
        <f t="shared" si="29"/>
        <v>0</v>
      </c>
    </row>
    <row r="136" spans="2:20" x14ac:dyDescent="0.4">
      <c r="B136" s="6" t="s">
        <v>282</v>
      </c>
      <c r="C136" s="20" t="s">
        <v>283</v>
      </c>
      <c r="D136" s="17">
        <f>VLOOKUP(B136,BS!$A:$S,18,FALSE)-VLOOKUP(B136,BS!$A:$S,$C$1+5,FALSE)-VLOOKUP(B136,BS!$A:$S,$C$1+4,FALSE)</f>
        <v>0</v>
      </c>
      <c r="E136" s="17">
        <f>VLOOKUP(B136,BS!$A:$S,18,FALSE)-VLOOKUP(B136,BS!$A:$S,$C$1+5,FALSE)</f>
        <v>0</v>
      </c>
      <c r="F136" s="17">
        <f>VLOOKUP(B136,BS!$A:$S,18,FALSE)</f>
        <v>0</v>
      </c>
      <c r="G136" s="18">
        <f t="shared" si="34"/>
        <v>0</v>
      </c>
      <c r="H136" s="19">
        <f t="shared" si="35"/>
        <v>0</v>
      </c>
      <c r="I136" s="18">
        <f t="shared" si="36"/>
        <v>0</v>
      </c>
      <c r="J136" s="19">
        <f t="shared" si="37"/>
        <v>0</v>
      </c>
      <c r="L136" s="6" t="s">
        <v>677</v>
      </c>
      <c r="M136" s="20" t="s">
        <v>678</v>
      </c>
      <c r="N136" s="17">
        <f>VLOOKUP(L136,PL!$A:$S,$C$1+3,FALSE)</f>
        <v>0</v>
      </c>
      <c r="O136" s="17">
        <f>VLOOKUP(L136,PL!$A:$S,$C$1+4,FALSE)</f>
        <v>0</v>
      </c>
      <c r="P136" s="17">
        <f>VLOOKUP(L136,PL!$A:$S,$C$1+5,FALSE)</f>
        <v>0</v>
      </c>
      <c r="Q136" s="18">
        <f t="shared" si="26"/>
        <v>0</v>
      </c>
      <c r="R136" s="19">
        <f t="shared" si="27"/>
        <v>0</v>
      </c>
      <c r="S136" s="18">
        <f t="shared" si="28"/>
        <v>0</v>
      </c>
      <c r="T136" s="19">
        <f t="shared" si="29"/>
        <v>0</v>
      </c>
    </row>
    <row r="137" spans="2:20" x14ac:dyDescent="0.4">
      <c r="B137" s="6" t="s">
        <v>284</v>
      </c>
      <c r="C137" s="20" t="s">
        <v>285</v>
      </c>
      <c r="D137" s="17">
        <f>VLOOKUP(B137,BS!$A:$S,18,FALSE)-VLOOKUP(B137,BS!$A:$S,$C$1+5,FALSE)-VLOOKUP(B137,BS!$A:$S,$C$1+4,FALSE)</f>
        <v>0</v>
      </c>
      <c r="E137" s="17">
        <f>VLOOKUP(B137,BS!$A:$S,18,FALSE)-VLOOKUP(B137,BS!$A:$S,$C$1+5,FALSE)</f>
        <v>0</v>
      </c>
      <c r="F137" s="17">
        <f>VLOOKUP(B137,BS!$A:$S,18,FALSE)</f>
        <v>0</v>
      </c>
      <c r="G137" s="18">
        <f t="shared" si="34"/>
        <v>0</v>
      </c>
      <c r="H137" s="19">
        <f t="shared" si="35"/>
        <v>0</v>
      </c>
      <c r="I137" s="18">
        <f t="shared" si="36"/>
        <v>0</v>
      </c>
      <c r="J137" s="19">
        <f t="shared" si="37"/>
        <v>0</v>
      </c>
      <c r="L137" s="6" t="s">
        <v>679</v>
      </c>
      <c r="M137" s="20" t="s">
        <v>680</v>
      </c>
      <c r="N137" s="17">
        <f>VLOOKUP(L137,PL!$A:$S,$C$1+3,FALSE)</f>
        <v>0</v>
      </c>
      <c r="O137" s="17">
        <f>VLOOKUP(L137,PL!$A:$S,$C$1+4,FALSE)</f>
        <v>0</v>
      </c>
      <c r="P137" s="17">
        <f>VLOOKUP(L137,PL!$A:$S,$C$1+5,FALSE)</f>
        <v>0</v>
      </c>
      <c r="Q137" s="18">
        <f t="shared" ref="Q137:Q149" si="38">O137-N137</f>
        <v>0</v>
      </c>
      <c r="R137" s="19">
        <f t="shared" ref="R137:R149" si="39">IFERROR(Q137/N137,0)</f>
        <v>0</v>
      </c>
      <c r="S137" s="18">
        <f t="shared" ref="S137:S149" si="40">P137-O137</f>
        <v>0</v>
      </c>
      <c r="T137" s="19">
        <f t="shared" ref="T137:T149" si="41">IFERROR(S137/O137,0)</f>
        <v>0</v>
      </c>
    </row>
    <row r="138" spans="2:20" x14ac:dyDescent="0.4">
      <c r="B138" s="6" t="s">
        <v>286</v>
      </c>
      <c r="C138" s="20" t="s">
        <v>287</v>
      </c>
      <c r="D138" s="17">
        <f>VLOOKUP(B138,BS!$A:$S,18,FALSE)-VLOOKUP(B138,BS!$A:$S,$C$1+5,FALSE)-VLOOKUP(B138,BS!$A:$S,$C$1+4,FALSE)</f>
        <v>0</v>
      </c>
      <c r="E138" s="17">
        <f>VLOOKUP(B138,BS!$A:$S,18,FALSE)-VLOOKUP(B138,BS!$A:$S,$C$1+5,FALSE)</f>
        <v>0</v>
      </c>
      <c r="F138" s="17">
        <f>VLOOKUP(B138,BS!$A:$S,18,FALSE)</f>
        <v>0</v>
      </c>
      <c r="G138" s="18">
        <f t="shared" si="34"/>
        <v>0</v>
      </c>
      <c r="H138" s="19">
        <f t="shared" si="35"/>
        <v>0</v>
      </c>
      <c r="I138" s="18">
        <f t="shared" si="36"/>
        <v>0</v>
      </c>
      <c r="J138" s="19">
        <f t="shared" si="37"/>
        <v>0</v>
      </c>
      <c r="L138" s="6" t="s">
        <v>681</v>
      </c>
      <c r="M138" s="20" t="s">
        <v>682</v>
      </c>
      <c r="N138" s="17">
        <f>VLOOKUP(L138,PL!$A:$S,$C$1+3,FALSE)</f>
        <v>0</v>
      </c>
      <c r="O138" s="17">
        <f>VLOOKUP(L138,PL!$A:$S,$C$1+4,FALSE)</f>
        <v>0</v>
      </c>
      <c r="P138" s="17">
        <f>VLOOKUP(L138,PL!$A:$S,$C$1+5,FALSE)</f>
        <v>0</v>
      </c>
      <c r="Q138" s="18">
        <f t="shared" si="38"/>
        <v>0</v>
      </c>
      <c r="R138" s="19">
        <f t="shared" si="39"/>
        <v>0</v>
      </c>
      <c r="S138" s="18">
        <f t="shared" si="40"/>
        <v>0</v>
      </c>
      <c r="T138" s="19">
        <f t="shared" si="41"/>
        <v>0</v>
      </c>
    </row>
    <row r="139" spans="2:20" x14ac:dyDescent="0.4">
      <c r="B139" s="6" t="s">
        <v>288</v>
      </c>
      <c r="C139" s="20" t="s">
        <v>289</v>
      </c>
      <c r="D139" s="17">
        <f>VLOOKUP(B139,BS!$A:$S,18,FALSE)-VLOOKUP(B139,BS!$A:$S,$C$1+5,FALSE)-VLOOKUP(B139,BS!$A:$S,$C$1+4,FALSE)</f>
        <v>0</v>
      </c>
      <c r="E139" s="17">
        <f>VLOOKUP(B139,BS!$A:$S,18,FALSE)-VLOOKUP(B139,BS!$A:$S,$C$1+5,FALSE)</f>
        <v>0</v>
      </c>
      <c r="F139" s="17">
        <f>VLOOKUP(B139,BS!$A:$S,18,FALSE)</f>
        <v>0</v>
      </c>
      <c r="G139" s="18">
        <f t="shared" si="34"/>
        <v>0</v>
      </c>
      <c r="H139" s="19">
        <f t="shared" si="35"/>
        <v>0</v>
      </c>
      <c r="I139" s="18">
        <f t="shared" si="36"/>
        <v>0</v>
      </c>
      <c r="J139" s="19">
        <f t="shared" si="37"/>
        <v>0</v>
      </c>
      <c r="L139" s="6" t="s">
        <v>683</v>
      </c>
      <c r="M139" s="20" t="s">
        <v>684</v>
      </c>
      <c r="N139" s="17">
        <f>VLOOKUP(L139,PL!$A:$S,$C$1+3,FALSE)</f>
        <v>4472725</v>
      </c>
      <c r="O139" s="17">
        <f>VLOOKUP(L139,PL!$A:$S,$C$1+4,FALSE)</f>
        <v>2602916</v>
      </c>
      <c r="P139" s="17">
        <f>VLOOKUP(L139,PL!$A:$S,$C$1+5,FALSE)</f>
        <v>-7075641</v>
      </c>
      <c r="Q139" s="18">
        <f t="shared" si="38"/>
        <v>-1869809</v>
      </c>
      <c r="R139" s="19">
        <f t="shared" si="39"/>
        <v>-0.41804694006450205</v>
      </c>
      <c r="S139" s="18">
        <f t="shared" si="40"/>
        <v>-9678557</v>
      </c>
      <c r="T139" s="19">
        <f t="shared" si="41"/>
        <v>-3.7183516486893931</v>
      </c>
    </row>
    <row r="140" spans="2:20" x14ac:dyDescent="0.4">
      <c r="B140" s="6" t="s">
        <v>290</v>
      </c>
      <c r="C140" s="20" t="s">
        <v>291</v>
      </c>
      <c r="D140" s="17">
        <f>VLOOKUP(B140,BS!$A:$S,18,FALSE)-VLOOKUP(B140,BS!$A:$S,$C$1+5,FALSE)-VLOOKUP(B140,BS!$A:$S,$C$1+4,FALSE)</f>
        <v>38851420</v>
      </c>
      <c r="E140" s="17">
        <f>VLOOKUP(B140,BS!$A:$S,18,FALSE)-VLOOKUP(B140,BS!$A:$S,$C$1+5,FALSE)</f>
        <v>33667034</v>
      </c>
      <c r="F140" s="17">
        <f>VLOOKUP(B140,BS!$A:$S,18,FALSE)</f>
        <v>27233566</v>
      </c>
      <c r="G140" s="18">
        <f t="shared" si="34"/>
        <v>-5184386</v>
      </c>
      <c r="H140" s="19">
        <f t="shared" si="35"/>
        <v>-0.13344135169319424</v>
      </c>
      <c r="I140" s="18">
        <f t="shared" si="36"/>
        <v>-6433468</v>
      </c>
      <c r="J140" s="19">
        <f t="shared" si="37"/>
        <v>-0.19109102393754079</v>
      </c>
      <c r="L140" s="6" t="s">
        <v>685</v>
      </c>
      <c r="M140" s="20" t="s">
        <v>686</v>
      </c>
      <c r="N140" s="17">
        <f>VLOOKUP(L140,PL!$A:$S,$C$1+3,FALSE)</f>
        <v>0</v>
      </c>
      <c r="O140" s="17">
        <f>VLOOKUP(L140,PL!$A:$S,$C$1+4,FALSE)</f>
        <v>0</v>
      </c>
      <c r="P140" s="17">
        <f>VLOOKUP(L140,PL!$A:$S,$C$1+5,FALSE)</f>
        <v>0</v>
      </c>
      <c r="Q140" s="18">
        <f t="shared" si="38"/>
        <v>0</v>
      </c>
      <c r="R140" s="19">
        <f t="shared" si="39"/>
        <v>0</v>
      </c>
      <c r="S140" s="18">
        <f t="shared" si="40"/>
        <v>0</v>
      </c>
      <c r="T140" s="19">
        <f t="shared" si="41"/>
        <v>0</v>
      </c>
    </row>
    <row r="141" spans="2:20" x14ac:dyDescent="0.4">
      <c r="B141" s="6" t="s">
        <v>292</v>
      </c>
      <c r="C141" s="20" t="s">
        <v>293</v>
      </c>
      <c r="D141" s="17">
        <f>VLOOKUP(B141,BS!$A:$S,18,FALSE)-VLOOKUP(B141,BS!$A:$S,$C$1+5,FALSE)-VLOOKUP(B141,BS!$A:$S,$C$1+4,FALSE)</f>
        <v>0</v>
      </c>
      <c r="E141" s="17">
        <f>VLOOKUP(B141,BS!$A:$S,18,FALSE)-VLOOKUP(B141,BS!$A:$S,$C$1+5,FALSE)</f>
        <v>0</v>
      </c>
      <c r="F141" s="17">
        <f>VLOOKUP(B141,BS!$A:$S,18,FALSE)</f>
        <v>0</v>
      </c>
      <c r="G141" s="18">
        <f t="shared" si="34"/>
        <v>0</v>
      </c>
      <c r="H141" s="19">
        <f t="shared" si="35"/>
        <v>0</v>
      </c>
      <c r="I141" s="18">
        <f t="shared" si="36"/>
        <v>0</v>
      </c>
      <c r="J141" s="19">
        <f t="shared" si="37"/>
        <v>0</v>
      </c>
      <c r="L141" s="6" t="s">
        <v>687</v>
      </c>
      <c r="M141" s="20" t="s">
        <v>688</v>
      </c>
      <c r="N141" s="17">
        <f>VLOOKUP(L141,PL!$A:$S,$C$1+3,FALSE)</f>
        <v>0</v>
      </c>
      <c r="O141" s="17">
        <f>VLOOKUP(L141,PL!$A:$S,$C$1+4,FALSE)</f>
        <v>0</v>
      </c>
      <c r="P141" s="17">
        <f>VLOOKUP(L141,PL!$A:$S,$C$1+5,FALSE)</f>
        <v>0</v>
      </c>
      <c r="Q141" s="18">
        <f t="shared" si="38"/>
        <v>0</v>
      </c>
      <c r="R141" s="19">
        <f t="shared" si="39"/>
        <v>0</v>
      </c>
      <c r="S141" s="18">
        <f t="shared" si="40"/>
        <v>0</v>
      </c>
      <c r="T141" s="19">
        <f t="shared" si="41"/>
        <v>0</v>
      </c>
    </row>
    <row r="142" spans="2:20" x14ac:dyDescent="0.4">
      <c r="B142" s="6" t="s">
        <v>294</v>
      </c>
      <c r="C142" s="20" t="s">
        <v>295</v>
      </c>
      <c r="D142" s="17">
        <f>VLOOKUP(B142,BS!$A:$S,18,FALSE)-VLOOKUP(B142,BS!$A:$S,$C$1+5,FALSE)-VLOOKUP(B142,BS!$A:$S,$C$1+4,FALSE)</f>
        <v>0</v>
      </c>
      <c r="E142" s="17">
        <f>VLOOKUP(B142,BS!$A:$S,18,FALSE)-VLOOKUP(B142,BS!$A:$S,$C$1+5,FALSE)</f>
        <v>0</v>
      </c>
      <c r="F142" s="17">
        <f>VLOOKUP(B142,BS!$A:$S,18,FALSE)</f>
        <v>0</v>
      </c>
      <c r="G142" s="18">
        <f t="shared" si="34"/>
        <v>0</v>
      </c>
      <c r="H142" s="19">
        <f t="shared" si="35"/>
        <v>0</v>
      </c>
      <c r="I142" s="18">
        <f t="shared" si="36"/>
        <v>0</v>
      </c>
      <c r="J142" s="19">
        <f t="shared" si="37"/>
        <v>0</v>
      </c>
      <c r="L142" s="6" t="s">
        <v>689</v>
      </c>
      <c r="M142" s="20" t="s">
        <v>690</v>
      </c>
      <c r="N142" s="17">
        <f>VLOOKUP(L142,PL!$A:$S,$C$1+3,FALSE)</f>
        <v>0</v>
      </c>
      <c r="O142" s="17">
        <f>VLOOKUP(L142,PL!$A:$S,$C$1+4,FALSE)</f>
        <v>0</v>
      </c>
      <c r="P142" s="17">
        <f>VLOOKUP(L142,PL!$A:$S,$C$1+5,FALSE)</f>
        <v>0</v>
      </c>
      <c r="Q142" s="18">
        <f t="shared" ref="Q142" si="42">O142-N142</f>
        <v>0</v>
      </c>
      <c r="R142" s="19">
        <f t="shared" ref="R142" si="43">IFERROR(Q142/N142,0)</f>
        <v>0</v>
      </c>
      <c r="S142" s="18">
        <f t="shared" ref="S142" si="44">P142-O142</f>
        <v>0</v>
      </c>
      <c r="T142" s="19">
        <f t="shared" ref="T142" si="45">IFERROR(S142/O142,0)</f>
        <v>0</v>
      </c>
    </row>
    <row r="143" spans="2:20" x14ac:dyDescent="0.4">
      <c r="B143" s="6" t="s">
        <v>296</v>
      </c>
      <c r="C143" s="20" t="s">
        <v>297</v>
      </c>
      <c r="D143" s="17">
        <f>VLOOKUP(B143,BS!$A:$S,18,FALSE)-VLOOKUP(B143,BS!$A:$S,$C$1+5,FALSE)-VLOOKUP(B143,BS!$A:$S,$C$1+4,FALSE)</f>
        <v>0</v>
      </c>
      <c r="E143" s="17">
        <f>VLOOKUP(B143,BS!$A:$S,18,FALSE)-VLOOKUP(B143,BS!$A:$S,$C$1+5,FALSE)</f>
        <v>0</v>
      </c>
      <c r="F143" s="17">
        <f>VLOOKUP(B143,BS!$A:$S,18,FALSE)</f>
        <v>0</v>
      </c>
      <c r="G143" s="18">
        <f t="shared" si="34"/>
        <v>0</v>
      </c>
      <c r="H143" s="19">
        <f t="shared" si="35"/>
        <v>0</v>
      </c>
      <c r="I143" s="18">
        <f t="shared" si="36"/>
        <v>0</v>
      </c>
      <c r="J143" s="19">
        <f t="shared" si="37"/>
        <v>0</v>
      </c>
      <c r="L143" s="6" t="s">
        <v>725</v>
      </c>
      <c r="M143" s="20" t="s">
        <v>726</v>
      </c>
      <c r="N143" s="17">
        <f>VLOOKUP(L143,PL!$A:$S,$C$1+3,FALSE)</f>
        <v>0</v>
      </c>
      <c r="O143" s="17">
        <f>VLOOKUP(L143,PL!$A:$S,$C$1+4,FALSE)</f>
        <v>0</v>
      </c>
      <c r="P143" s="17">
        <f>VLOOKUP(L143,PL!$A:$S,$C$1+5,FALSE)</f>
        <v>0</v>
      </c>
      <c r="Q143" s="18">
        <f t="shared" si="38"/>
        <v>0</v>
      </c>
      <c r="R143" s="19">
        <f t="shared" si="39"/>
        <v>0</v>
      </c>
      <c r="S143" s="18">
        <f t="shared" si="40"/>
        <v>0</v>
      </c>
      <c r="T143" s="19">
        <f t="shared" si="41"/>
        <v>0</v>
      </c>
    </row>
    <row r="144" spans="2:20" x14ac:dyDescent="0.4">
      <c r="B144" s="15" t="s">
        <v>298</v>
      </c>
      <c r="C144" s="16" t="s">
        <v>299</v>
      </c>
      <c r="D144" s="17">
        <f>VLOOKUP(B144,BS!$A:$S,18,FALSE)-VLOOKUP(B144,BS!$A:$S,$C$1+5,FALSE)-VLOOKUP(B144,BS!$A:$S,$C$1+4,FALSE)</f>
        <v>0</v>
      </c>
      <c r="E144" s="17">
        <f>VLOOKUP(B144,BS!$A:$S,18,FALSE)-VLOOKUP(B144,BS!$A:$S,$C$1+5,FALSE)</f>
        <v>0</v>
      </c>
      <c r="F144" s="17">
        <f>VLOOKUP(B144,BS!$A:$S,18,FALSE)</f>
        <v>0</v>
      </c>
      <c r="G144" s="18">
        <f t="shared" si="34"/>
        <v>0</v>
      </c>
      <c r="H144" s="19">
        <f t="shared" si="35"/>
        <v>0</v>
      </c>
      <c r="I144" s="18">
        <f t="shared" si="36"/>
        <v>0</v>
      </c>
      <c r="J144" s="19">
        <f t="shared" si="37"/>
        <v>0</v>
      </c>
      <c r="L144" s="15" t="s">
        <v>691</v>
      </c>
      <c r="M144" s="16" t="s">
        <v>692</v>
      </c>
      <c r="N144" s="17">
        <f>VLOOKUP(L144,PL!$A:$S,$C$1+3,FALSE)</f>
        <v>-73707904.319999993</v>
      </c>
      <c r="O144" s="17">
        <f>VLOOKUP(L144,PL!$A:$S,$C$1+4,FALSE)</f>
        <v>-103328611.43000001</v>
      </c>
      <c r="P144" s="17">
        <f>VLOOKUP(L144,PL!$A:$S,$C$1+5,FALSE)</f>
        <v>23931153.23</v>
      </c>
      <c r="Q144" s="18">
        <f t="shared" si="38"/>
        <v>-29620707.110000014</v>
      </c>
      <c r="R144" s="19">
        <f t="shared" si="39"/>
        <v>0.40186608727067952</v>
      </c>
      <c r="S144" s="18">
        <f t="shared" si="40"/>
        <v>127259764.66000001</v>
      </c>
      <c r="T144" s="19">
        <f t="shared" si="41"/>
        <v>-1.2316023887170124</v>
      </c>
    </row>
    <row r="145" spans="2:20" x14ac:dyDescent="0.4">
      <c r="B145" s="6" t="s">
        <v>300</v>
      </c>
      <c r="C145" s="20" t="s">
        <v>301</v>
      </c>
      <c r="D145" s="17">
        <f>VLOOKUP(B145,BS!$A:$S,18,FALSE)-VLOOKUP(B145,BS!$A:$S,$C$1+5,FALSE)-VLOOKUP(B145,BS!$A:$S,$C$1+4,FALSE)</f>
        <v>0</v>
      </c>
      <c r="E145" s="17">
        <f>VLOOKUP(B145,BS!$A:$S,18,FALSE)-VLOOKUP(B145,BS!$A:$S,$C$1+5,FALSE)</f>
        <v>0</v>
      </c>
      <c r="F145" s="17">
        <f>VLOOKUP(B145,BS!$A:$S,18,FALSE)</f>
        <v>0</v>
      </c>
      <c r="G145" s="18">
        <f t="shared" si="34"/>
        <v>0</v>
      </c>
      <c r="H145" s="19">
        <f t="shared" si="35"/>
        <v>0</v>
      </c>
      <c r="I145" s="18">
        <f t="shared" si="36"/>
        <v>0</v>
      </c>
      <c r="J145" s="19">
        <f t="shared" si="37"/>
        <v>0</v>
      </c>
      <c r="L145" s="15" t="s">
        <v>693</v>
      </c>
      <c r="M145" s="16" t="s">
        <v>694</v>
      </c>
      <c r="N145" s="17">
        <f>VLOOKUP(L145,PL!$A:$S,$C$1+3,FALSE)</f>
        <v>0</v>
      </c>
      <c r="O145" s="17">
        <f>VLOOKUP(L145,PL!$A:$S,$C$1+4,FALSE)</f>
        <v>0</v>
      </c>
      <c r="P145" s="17">
        <f>VLOOKUP(L145,PL!$A:$S,$C$1+5,FALSE)</f>
        <v>0</v>
      </c>
      <c r="Q145" s="18">
        <f t="shared" si="38"/>
        <v>0</v>
      </c>
      <c r="R145" s="19">
        <f t="shared" si="39"/>
        <v>0</v>
      </c>
      <c r="S145" s="18">
        <f t="shared" si="40"/>
        <v>0</v>
      </c>
      <c r="T145" s="19">
        <f t="shared" si="41"/>
        <v>0</v>
      </c>
    </row>
    <row r="146" spans="2:20" x14ac:dyDescent="0.4">
      <c r="B146" s="6" t="s">
        <v>302</v>
      </c>
      <c r="C146" s="20" t="s">
        <v>303</v>
      </c>
      <c r="D146" s="17">
        <f>VLOOKUP(B146,BS!$A:$S,18,FALSE)-VLOOKUP(B146,BS!$A:$S,$C$1+5,FALSE)-VLOOKUP(B146,BS!$A:$S,$C$1+4,FALSE)</f>
        <v>0</v>
      </c>
      <c r="E146" s="17">
        <f>VLOOKUP(B146,BS!$A:$S,18,FALSE)-VLOOKUP(B146,BS!$A:$S,$C$1+5,FALSE)</f>
        <v>0</v>
      </c>
      <c r="F146" s="17">
        <f>VLOOKUP(B146,BS!$A:$S,18,FALSE)</f>
        <v>0</v>
      </c>
      <c r="G146" s="18">
        <f t="shared" si="34"/>
        <v>0</v>
      </c>
      <c r="H146" s="19">
        <f t="shared" si="35"/>
        <v>0</v>
      </c>
      <c r="I146" s="18">
        <f t="shared" si="36"/>
        <v>0</v>
      </c>
      <c r="J146" s="19">
        <f t="shared" si="37"/>
        <v>0</v>
      </c>
      <c r="L146" s="6" t="s">
        <v>695</v>
      </c>
      <c r="M146" s="20" t="s">
        <v>694</v>
      </c>
      <c r="N146" s="17">
        <f>VLOOKUP(L146,PL!$A:$S,$C$1+3,FALSE)</f>
        <v>0</v>
      </c>
      <c r="O146" s="17">
        <f>VLOOKUP(L146,PL!$A:$S,$C$1+4,FALSE)</f>
        <v>0</v>
      </c>
      <c r="P146" s="17">
        <f>VLOOKUP(L146,PL!$A:$S,$C$1+5,FALSE)</f>
        <v>0</v>
      </c>
      <c r="Q146" s="18">
        <f t="shared" si="38"/>
        <v>0</v>
      </c>
      <c r="R146" s="19">
        <f t="shared" si="39"/>
        <v>0</v>
      </c>
      <c r="S146" s="18">
        <f t="shared" si="40"/>
        <v>0</v>
      </c>
      <c r="T146" s="19">
        <f t="shared" si="41"/>
        <v>0</v>
      </c>
    </row>
    <row r="147" spans="2:20" x14ac:dyDescent="0.4">
      <c r="B147" s="6" t="s">
        <v>304</v>
      </c>
      <c r="C147" s="20" t="s">
        <v>305</v>
      </c>
      <c r="D147" s="17">
        <f>VLOOKUP(B147,BS!$A:$S,18,FALSE)-VLOOKUP(B147,BS!$A:$S,$C$1+5,FALSE)-VLOOKUP(B147,BS!$A:$S,$C$1+4,FALSE)</f>
        <v>0</v>
      </c>
      <c r="E147" s="17">
        <f>VLOOKUP(B147,BS!$A:$S,18,FALSE)-VLOOKUP(B147,BS!$A:$S,$C$1+5,FALSE)</f>
        <v>0</v>
      </c>
      <c r="F147" s="17">
        <f>VLOOKUP(B147,BS!$A:$S,18,FALSE)</f>
        <v>0</v>
      </c>
      <c r="G147" s="18">
        <f t="shared" si="34"/>
        <v>0</v>
      </c>
      <c r="H147" s="19">
        <f t="shared" si="35"/>
        <v>0</v>
      </c>
      <c r="I147" s="18">
        <f t="shared" si="36"/>
        <v>0</v>
      </c>
      <c r="J147" s="19">
        <f t="shared" si="37"/>
        <v>0</v>
      </c>
      <c r="L147" s="15" t="s">
        <v>696</v>
      </c>
      <c r="M147" s="16" t="s">
        <v>697</v>
      </c>
      <c r="N147" s="17">
        <f>VLOOKUP(L147,PL!$A:$S,$C$1+3,FALSE)</f>
        <v>-73707904.319999993</v>
      </c>
      <c r="O147" s="17">
        <f>VLOOKUP(L147,PL!$A:$S,$C$1+4,FALSE)</f>
        <v>-103328611.43000001</v>
      </c>
      <c r="P147" s="17">
        <f>VLOOKUP(L147,PL!$A:$S,$C$1+5,FALSE)</f>
        <v>23931153.23</v>
      </c>
      <c r="Q147" s="18">
        <f t="shared" si="38"/>
        <v>-29620707.110000014</v>
      </c>
      <c r="R147" s="19">
        <f t="shared" si="39"/>
        <v>0.40186608727067952</v>
      </c>
      <c r="S147" s="18">
        <f t="shared" si="40"/>
        <v>127259764.66000001</v>
      </c>
      <c r="T147" s="19">
        <f t="shared" si="41"/>
        <v>-1.2316023887170124</v>
      </c>
    </row>
    <row r="148" spans="2:20" x14ac:dyDescent="0.4">
      <c r="B148" s="6" t="s">
        <v>306</v>
      </c>
      <c r="C148" s="20" t="s">
        <v>307</v>
      </c>
      <c r="D148" s="17">
        <f>VLOOKUP(B148,BS!$A:$S,18,FALSE)-VLOOKUP(B148,BS!$A:$S,$C$1+5,FALSE)-VLOOKUP(B148,BS!$A:$S,$C$1+4,FALSE)</f>
        <v>0</v>
      </c>
      <c r="E148" s="17">
        <f>VLOOKUP(B148,BS!$A:$S,18,FALSE)-VLOOKUP(B148,BS!$A:$S,$C$1+5,FALSE)</f>
        <v>0</v>
      </c>
      <c r="F148" s="17">
        <f>VLOOKUP(B148,BS!$A:$S,18,FALSE)</f>
        <v>0</v>
      </c>
      <c r="G148" s="18">
        <f t="shared" si="34"/>
        <v>0</v>
      </c>
      <c r="H148" s="19">
        <f t="shared" si="35"/>
        <v>0</v>
      </c>
      <c r="I148" s="18">
        <f t="shared" si="36"/>
        <v>0</v>
      </c>
      <c r="J148" s="19">
        <f t="shared" si="37"/>
        <v>0</v>
      </c>
      <c r="L148" s="6" t="s">
        <v>698</v>
      </c>
      <c r="M148" s="20" t="s">
        <v>699</v>
      </c>
      <c r="N148" s="17">
        <f>VLOOKUP(L148,PL!$A:$S,$C$1+3,FALSE)</f>
        <v>-73707904.319999993</v>
      </c>
      <c r="O148" s="17">
        <f>VLOOKUP(L148,PL!$A:$S,$C$1+4,FALSE)</f>
        <v>-103328611.43000001</v>
      </c>
      <c r="P148" s="17">
        <f>VLOOKUP(L148,PL!$A:$S,$C$1+5,FALSE)</f>
        <v>23931153.23</v>
      </c>
      <c r="Q148" s="18">
        <f t="shared" si="38"/>
        <v>-29620707.110000014</v>
      </c>
      <c r="R148" s="19">
        <f t="shared" si="39"/>
        <v>0.40186608727067952</v>
      </c>
      <c r="S148" s="18">
        <f t="shared" si="40"/>
        <v>127259764.66000001</v>
      </c>
      <c r="T148" s="19">
        <f t="shared" si="41"/>
        <v>-1.2316023887170124</v>
      </c>
    </row>
    <row r="149" spans="2:20" x14ac:dyDescent="0.4">
      <c r="B149" s="6" t="s">
        <v>308</v>
      </c>
      <c r="C149" s="20" t="s">
        <v>309</v>
      </c>
      <c r="D149" s="17">
        <f>VLOOKUP(B149,BS!$A:$S,18,FALSE)-VLOOKUP(B149,BS!$A:$S,$C$1+5,FALSE)-VLOOKUP(B149,BS!$A:$S,$C$1+4,FALSE)</f>
        <v>0</v>
      </c>
      <c r="E149" s="17">
        <f>VLOOKUP(B149,BS!$A:$S,18,FALSE)-VLOOKUP(B149,BS!$A:$S,$C$1+5,FALSE)</f>
        <v>0</v>
      </c>
      <c r="F149" s="17">
        <f>VLOOKUP(B149,BS!$A:$S,18,FALSE)</f>
        <v>0</v>
      </c>
      <c r="G149" s="18">
        <f t="shared" si="34"/>
        <v>0</v>
      </c>
      <c r="H149" s="19">
        <f t="shared" si="35"/>
        <v>0</v>
      </c>
      <c r="I149" s="18">
        <f t="shared" si="36"/>
        <v>0</v>
      </c>
      <c r="J149" s="19">
        <f t="shared" si="37"/>
        <v>0</v>
      </c>
      <c r="L149" s="6" t="s">
        <v>700</v>
      </c>
      <c r="M149" s="21" t="s">
        <v>701</v>
      </c>
      <c r="N149" s="22">
        <f>VLOOKUP(L149,PL!$A:$S,$C$1+3,FALSE)</f>
        <v>0</v>
      </c>
      <c r="O149" s="22">
        <f>VLOOKUP(L149,PL!$A:$S,$C$1+4,FALSE)</f>
        <v>0</v>
      </c>
      <c r="P149" s="22">
        <f>VLOOKUP(L149,PL!$A:$S,$C$1+5,FALSE)</f>
        <v>0</v>
      </c>
      <c r="Q149" s="23">
        <f t="shared" si="38"/>
        <v>0</v>
      </c>
      <c r="R149" s="24">
        <f t="shared" si="39"/>
        <v>0</v>
      </c>
      <c r="S149" s="23">
        <f t="shared" si="40"/>
        <v>0</v>
      </c>
      <c r="T149" s="24">
        <f t="shared" si="41"/>
        <v>0</v>
      </c>
    </row>
    <row r="150" spans="2:20" x14ac:dyDescent="0.4">
      <c r="B150" s="6" t="s">
        <v>310</v>
      </c>
      <c r="C150" s="20" t="s">
        <v>311</v>
      </c>
      <c r="D150" s="17">
        <f>VLOOKUP(B150,BS!$A:$S,18,FALSE)-VLOOKUP(B150,BS!$A:$S,$C$1+5,FALSE)-VLOOKUP(B150,BS!$A:$S,$C$1+4,FALSE)</f>
        <v>0</v>
      </c>
      <c r="E150" s="17">
        <f>VLOOKUP(B150,BS!$A:$S,18,FALSE)-VLOOKUP(B150,BS!$A:$S,$C$1+5,FALSE)</f>
        <v>0</v>
      </c>
      <c r="F150" s="17">
        <f>VLOOKUP(B150,BS!$A:$S,18,FALSE)</f>
        <v>0</v>
      </c>
      <c r="G150" s="18">
        <f t="shared" si="34"/>
        <v>0</v>
      </c>
      <c r="H150" s="19">
        <f t="shared" si="35"/>
        <v>0</v>
      </c>
      <c r="I150" s="18">
        <f t="shared" si="36"/>
        <v>0</v>
      </c>
      <c r="J150" s="19">
        <f t="shared" si="37"/>
        <v>0</v>
      </c>
    </row>
    <row r="151" spans="2:20" x14ac:dyDescent="0.4">
      <c r="B151" s="6" t="s">
        <v>312</v>
      </c>
      <c r="C151" s="20" t="s">
        <v>313</v>
      </c>
      <c r="D151" s="17">
        <f>VLOOKUP(B151,BS!$A:$S,18,FALSE)-VLOOKUP(B151,BS!$A:$S,$C$1+5,FALSE)-VLOOKUP(B151,BS!$A:$S,$C$1+4,FALSE)</f>
        <v>0</v>
      </c>
      <c r="E151" s="17">
        <f>VLOOKUP(B151,BS!$A:$S,18,FALSE)-VLOOKUP(B151,BS!$A:$S,$C$1+5,FALSE)</f>
        <v>0</v>
      </c>
      <c r="F151" s="17">
        <f>VLOOKUP(B151,BS!$A:$S,18,FALSE)</f>
        <v>0</v>
      </c>
      <c r="G151" s="18">
        <f t="shared" si="34"/>
        <v>0</v>
      </c>
      <c r="H151" s="19">
        <f t="shared" si="35"/>
        <v>0</v>
      </c>
      <c r="I151" s="18">
        <f t="shared" si="36"/>
        <v>0</v>
      </c>
      <c r="J151" s="19">
        <f t="shared" si="37"/>
        <v>0</v>
      </c>
    </row>
    <row r="152" spans="2:20" x14ac:dyDescent="0.4">
      <c r="B152" s="6" t="s">
        <v>314</v>
      </c>
      <c r="C152" s="20" t="s">
        <v>315</v>
      </c>
      <c r="D152" s="17">
        <f>VLOOKUP(B152,BS!$A:$S,18,FALSE)-VLOOKUP(B152,BS!$A:$S,$C$1+5,FALSE)-VLOOKUP(B152,BS!$A:$S,$C$1+4,FALSE)</f>
        <v>0</v>
      </c>
      <c r="E152" s="17">
        <f>VLOOKUP(B152,BS!$A:$S,18,FALSE)-VLOOKUP(B152,BS!$A:$S,$C$1+5,FALSE)</f>
        <v>0</v>
      </c>
      <c r="F152" s="17">
        <f>VLOOKUP(B152,BS!$A:$S,18,FALSE)</f>
        <v>0</v>
      </c>
      <c r="G152" s="18">
        <f t="shared" si="34"/>
        <v>0</v>
      </c>
      <c r="H152" s="19">
        <f t="shared" si="35"/>
        <v>0</v>
      </c>
      <c r="I152" s="18">
        <f t="shared" si="36"/>
        <v>0</v>
      </c>
      <c r="J152" s="19">
        <f t="shared" si="37"/>
        <v>0</v>
      </c>
    </row>
    <row r="153" spans="2:20" x14ac:dyDescent="0.4">
      <c r="B153" s="6" t="s">
        <v>316</v>
      </c>
      <c r="C153" s="20" t="s">
        <v>317</v>
      </c>
      <c r="D153" s="17">
        <f>VLOOKUP(B153,BS!$A:$S,18,FALSE)-VLOOKUP(B153,BS!$A:$S,$C$1+5,FALSE)-VLOOKUP(B153,BS!$A:$S,$C$1+4,FALSE)</f>
        <v>0</v>
      </c>
      <c r="E153" s="17">
        <f>VLOOKUP(B153,BS!$A:$S,18,FALSE)-VLOOKUP(B153,BS!$A:$S,$C$1+5,FALSE)</f>
        <v>0</v>
      </c>
      <c r="F153" s="17">
        <f>VLOOKUP(B153,BS!$A:$S,18,FALSE)</f>
        <v>0</v>
      </c>
      <c r="G153" s="18">
        <f t="shared" si="34"/>
        <v>0</v>
      </c>
      <c r="H153" s="19">
        <f t="shared" si="35"/>
        <v>0</v>
      </c>
      <c r="I153" s="18">
        <f t="shared" si="36"/>
        <v>0</v>
      </c>
      <c r="J153" s="19">
        <f t="shared" si="37"/>
        <v>0</v>
      </c>
    </row>
    <row r="154" spans="2:20" x14ac:dyDescent="0.4">
      <c r="B154" s="6" t="s">
        <v>318</v>
      </c>
      <c r="C154" s="20" t="s">
        <v>319</v>
      </c>
      <c r="D154" s="17">
        <f>VLOOKUP(B154,BS!$A:$S,18,FALSE)-VLOOKUP(B154,BS!$A:$S,$C$1+5,FALSE)-VLOOKUP(B154,BS!$A:$S,$C$1+4,FALSE)</f>
        <v>0</v>
      </c>
      <c r="E154" s="17">
        <f>VLOOKUP(B154,BS!$A:$S,18,FALSE)-VLOOKUP(B154,BS!$A:$S,$C$1+5,FALSE)</f>
        <v>0</v>
      </c>
      <c r="F154" s="17">
        <f>VLOOKUP(B154,BS!$A:$S,18,FALSE)</f>
        <v>0</v>
      </c>
      <c r="G154" s="18">
        <f t="shared" si="34"/>
        <v>0</v>
      </c>
      <c r="H154" s="19">
        <f t="shared" si="35"/>
        <v>0</v>
      </c>
      <c r="I154" s="18">
        <f t="shared" si="36"/>
        <v>0</v>
      </c>
      <c r="J154" s="19">
        <f t="shared" si="37"/>
        <v>0</v>
      </c>
    </row>
    <row r="155" spans="2:20" x14ac:dyDescent="0.4">
      <c r="B155" s="6" t="s">
        <v>320</v>
      </c>
      <c r="C155" s="20" t="s">
        <v>321</v>
      </c>
      <c r="D155" s="17">
        <f>VLOOKUP(B155,BS!$A:$S,18,FALSE)-VLOOKUP(B155,BS!$A:$S,$C$1+5,FALSE)-VLOOKUP(B155,BS!$A:$S,$C$1+4,FALSE)</f>
        <v>0</v>
      </c>
      <c r="E155" s="17">
        <f>VLOOKUP(B155,BS!$A:$S,18,FALSE)-VLOOKUP(B155,BS!$A:$S,$C$1+5,FALSE)</f>
        <v>0</v>
      </c>
      <c r="F155" s="17">
        <f>VLOOKUP(B155,BS!$A:$S,18,FALSE)</f>
        <v>0</v>
      </c>
      <c r="G155" s="18">
        <f t="shared" si="34"/>
        <v>0</v>
      </c>
      <c r="H155" s="19">
        <f t="shared" si="35"/>
        <v>0</v>
      </c>
      <c r="I155" s="18">
        <f t="shared" si="36"/>
        <v>0</v>
      </c>
      <c r="J155" s="19">
        <f t="shared" si="37"/>
        <v>0</v>
      </c>
    </row>
    <row r="156" spans="2:20" x14ac:dyDescent="0.4">
      <c r="B156" s="6" t="s">
        <v>322</v>
      </c>
      <c r="C156" s="20" t="s">
        <v>323</v>
      </c>
      <c r="D156" s="17">
        <f>VLOOKUP(B156,BS!$A:$S,18,FALSE)-VLOOKUP(B156,BS!$A:$S,$C$1+5,FALSE)-VLOOKUP(B156,BS!$A:$S,$C$1+4,FALSE)</f>
        <v>0</v>
      </c>
      <c r="E156" s="17">
        <f>VLOOKUP(B156,BS!$A:$S,18,FALSE)-VLOOKUP(B156,BS!$A:$S,$C$1+5,FALSE)</f>
        <v>0</v>
      </c>
      <c r="F156" s="17">
        <f>VLOOKUP(B156,BS!$A:$S,18,FALSE)</f>
        <v>0</v>
      </c>
      <c r="G156" s="18">
        <f t="shared" si="34"/>
        <v>0</v>
      </c>
      <c r="H156" s="19">
        <f t="shared" si="35"/>
        <v>0</v>
      </c>
      <c r="I156" s="18">
        <f t="shared" si="36"/>
        <v>0</v>
      </c>
      <c r="J156" s="19">
        <f t="shared" si="37"/>
        <v>0</v>
      </c>
    </row>
    <row r="157" spans="2:20" x14ac:dyDescent="0.4">
      <c r="B157" s="6" t="s">
        <v>324</v>
      </c>
      <c r="C157" s="20" t="s">
        <v>325</v>
      </c>
      <c r="D157" s="17">
        <f>VLOOKUP(B157,BS!$A:$S,18,FALSE)-VLOOKUP(B157,BS!$A:$S,$C$1+5,FALSE)-VLOOKUP(B157,BS!$A:$S,$C$1+4,FALSE)</f>
        <v>0</v>
      </c>
      <c r="E157" s="17">
        <f>VLOOKUP(B157,BS!$A:$S,18,FALSE)-VLOOKUP(B157,BS!$A:$S,$C$1+5,FALSE)</f>
        <v>0</v>
      </c>
      <c r="F157" s="17">
        <f>VLOOKUP(B157,BS!$A:$S,18,FALSE)</f>
        <v>0</v>
      </c>
      <c r="G157" s="18">
        <f t="shared" si="34"/>
        <v>0</v>
      </c>
      <c r="H157" s="19">
        <f t="shared" si="35"/>
        <v>0</v>
      </c>
      <c r="I157" s="18">
        <f t="shared" si="36"/>
        <v>0</v>
      </c>
      <c r="J157" s="19">
        <f t="shared" si="37"/>
        <v>0</v>
      </c>
    </row>
    <row r="158" spans="2:20" x14ac:dyDescent="0.4">
      <c r="B158" s="6" t="s">
        <v>326</v>
      </c>
      <c r="C158" s="20" t="s">
        <v>327</v>
      </c>
      <c r="D158" s="17">
        <f>VLOOKUP(B158,BS!$A:$S,18,FALSE)-VLOOKUP(B158,BS!$A:$S,$C$1+5,FALSE)-VLOOKUP(B158,BS!$A:$S,$C$1+4,FALSE)</f>
        <v>0</v>
      </c>
      <c r="E158" s="17">
        <f>VLOOKUP(B158,BS!$A:$S,18,FALSE)-VLOOKUP(B158,BS!$A:$S,$C$1+5,FALSE)</f>
        <v>0</v>
      </c>
      <c r="F158" s="17">
        <f>VLOOKUP(B158,BS!$A:$S,18,FALSE)</f>
        <v>0</v>
      </c>
      <c r="G158" s="18">
        <f t="shared" si="34"/>
        <v>0</v>
      </c>
      <c r="H158" s="19">
        <f t="shared" si="35"/>
        <v>0</v>
      </c>
      <c r="I158" s="18">
        <f t="shared" si="36"/>
        <v>0</v>
      </c>
      <c r="J158" s="19">
        <f t="shared" si="37"/>
        <v>0</v>
      </c>
    </row>
    <row r="159" spans="2:20" x14ac:dyDescent="0.4">
      <c r="B159" s="6" t="s">
        <v>328</v>
      </c>
      <c r="C159" s="20" t="s">
        <v>329</v>
      </c>
      <c r="D159" s="17">
        <f>VLOOKUP(B159,BS!$A:$S,18,FALSE)-VLOOKUP(B159,BS!$A:$S,$C$1+5,FALSE)-VLOOKUP(B159,BS!$A:$S,$C$1+4,FALSE)</f>
        <v>0</v>
      </c>
      <c r="E159" s="17">
        <f>VLOOKUP(B159,BS!$A:$S,18,FALSE)-VLOOKUP(B159,BS!$A:$S,$C$1+5,FALSE)</f>
        <v>0</v>
      </c>
      <c r="F159" s="17">
        <f>VLOOKUP(B159,BS!$A:$S,18,FALSE)</f>
        <v>0</v>
      </c>
      <c r="G159" s="18">
        <f t="shared" si="34"/>
        <v>0</v>
      </c>
      <c r="H159" s="19">
        <f t="shared" si="35"/>
        <v>0</v>
      </c>
      <c r="I159" s="18">
        <f t="shared" si="36"/>
        <v>0</v>
      </c>
      <c r="J159" s="19">
        <f t="shared" si="37"/>
        <v>0</v>
      </c>
    </row>
    <row r="160" spans="2:20" x14ac:dyDescent="0.4">
      <c r="B160" s="6" t="s">
        <v>330</v>
      </c>
      <c r="C160" s="20" t="s">
        <v>331</v>
      </c>
      <c r="D160" s="17">
        <f>VLOOKUP(B160,BS!$A:$S,18,FALSE)-VLOOKUP(B160,BS!$A:$S,$C$1+5,FALSE)-VLOOKUP(B160,BS!$A:$S,$C$1+4,FALSE)</f>
        <v>0</v>
      </c>
      <c r="E160" s="17">
        <f>VLOOKUP(B160,BS!$A:$S,18,FALSE)-VLOOKUP(B160,BS!$A:$S,$C$1+5,FALSE)</f>
        <v>0</v>
      </c>
      <c r="F160" s="17">
        <f>VLOOKUP(B160,BS!$A:$S,18,FALSE)</f>
        <v>0</v>
      </c>
      <c r="G160" s="18">
        <f t="shared" si="34"/>
        <v>0</v>
      </c>
      <c r="H160" s="19">
        <f t="shared" si="35"/>
        <v>0</v>
      </c>
      <c r="I160" s="18">
        <f t="shared" si="36"/>
        <v>0</v>
      </c>
      <c r="J160" s="19">
        <f t="shared" si="37"/>
        <v>0</v>
      </c>
    </row>
    <row r="161" spans="2:10" x14ac:dyDescent="0.4">
      <c r="B161" s="6" t="s">
        <v>332</v>
      </c>
      <c r="C161" s="20" t="s">
        <v>333</v>
      </c>
      <c r="D161" s="17">
        <f>VLOOKUP(B161,BS!$A:$S,18,FALSE)-VLOOKUP(B161,BS!$A:$S,$C$1+5,FALSE)-VLOOKUP(B161,BS!$A:$S,$C$1+4,FALSE)</f>
        <v>0</v>
      </c>
      <c r="E161" s="17">
        <f>VLOOKUP(B161,BS!$A:$S,18,FALSE)-VLOOKUP(B161,BS!$A:$S,$C$1+5,FALSE)</f>
        <v>0</v>
      </c>
      <c r="F161" s="17">
        <f>VLOOKUP(B161,BS!$A:$S,18,FALSE)</f>
        <v>0</v>
      </c>
      <c r="G161" s="18">
        <f t="shared" si="34"/>
        <v>0</v>
      </c>
      <c r="H161" s="19">
        <f t="shared" si="35"/>
        <v>0</v>
      </c>
      <c r="I161" s="18">
        <f t="shared" si="36"/>
        <v>0</v>
      </c>
      <c r="J161" s="19">
        <f t="shared" si="37"/>
        <v>0</v>
      </c>
    </row>
    <row r="162" spans="2:10" x14ac:dyDescent="0.4">
      <c r="B162" s="15" t="s">
        <v>334</v>
      </c>
      <c r="C162" s="16" t="s">
        <v>335</v>
      </c>
      <c r="D162" s="17">
        <f>VLOOKUP(B162,BS!$A:$S,18,FALSE)-VLOOKUP(B162,BS!$A:$S,$C$1+5,FALSE)-VLOOKUP(B162,BS!$A:$S,$C$1+4,FALSE)</f>
        <v>-1048236434.52</v>
      </c>
      <c r="E162" s="17">
        <f>VLOOKUP(B162,BS!$A:$S,18,FALSE)-VLOOKUP(B162,BS!$A:$S,$C$1+5,FALSE)</f>
        <v>-1151565045.95</v>
      </c>
      <c r="F162" s="17">
        <f>VLOOKUP(B162,BS!$A:$S,18,FALSE)</f>
        <v>-1127633892.72</v>
      </c>
      <c r="G162" s="18">
        <f t="shared" si="34"/>
        <v>-103328611.43000007</v>
      </c>
      <c r="H162" s="19">
        <f t="shared" si="35"/>
        <v>9.8573764493613963E-2</v>
      </c>
      <c r="I162" s="18">
        <f t="shared" si="36"/>
        <v>23931153.230000019</v>
      </c>
      <c r="J162" s="19">
        <f t="shared" si="37"/>
        <v>-2.0781416832826558E-2</v>
      </c>
    </row>
    <row r="163" spans="2:10" x14ac:dyDescent="0.4">
      <c r="B163" s="15" t="s">
        <v>336</v>
      </c>
      <c r="C163" s="16" t="s">
        <v>337</v>
      </c>
      <c r="D163" s="17">
        <f>VLOOKUP(B163,BS!$A:$S,18,FALSE)-VLOOKUP(B163,BS!$A:$S,$C$1+5,FALSE)-VLOOKUP(B163,BS!$A:$S,$C$1+4,FALSE)</f>
        <v>495343228.35000002</v>
      </c>
      <c r="E163" s="17">
        <f>VLOOKUP(B163,BS!$A:$S,18,FALSE)-VLOOKUP(B163,BS!$A:$S,$C$1+5,FALSE)</f>
        <v>495343228.35000002</v>
      </c>
      <c r="F163" s="17">
        <f>VLOOKUP(B163,BS!$A:$S,18,FALSE)</f>
        <v>495343228.35000002</v>
      </c>
      <c r="G163" s="18">
        <f t="shared" si="34"/>
        <v>0</v>
      </c>
      <c r="H163" s="19">
        <f t="shared" si="35"/>
        <v>0</v>
      </c>
      <c r="I163" s="18">
        <f t="shared" si="36"/>
        <v>0</v>
      </c>
      <c r="J163" s="19">
        <f t="shared" si="37"/>
        <v>0</v>
      </c>
    </row>
    <row r="164" spans="2:10" x14ac:dyDescent="0.4">
      <c r="B164" s="6" t="s">
        <v>338</v>
      </c>
      <c r="C164" s="20" t="s">
        <v>339</v>
      </c>
      <c r="D164" s="17">
        <f>VLOOKUP(B164,BS!$A:$S,18,FALSE)-VLOOKUP(B164,BS!$A:$S,$C$1+5,FALSE)-VLOOKUP(B164,BS!$A:$S,$C$1+4,FALSE)</f>
        <v>495343228.35000002</v>
      </c>
      <c r="E164" s="17">
        <f>VLOOKUP(B164,BS!$A:$S,18,FALSE)-VLOOKUP(B164,BS!$A:$S,$C$1+5,FALSE)</f>
        <v>495343228.35000002</v>
      </c>
      <c r="F164" s="17">
        <f>VLOOKUP(B164,BS!$A:$S,18,FALSE)</f>
        <v>495343228.35000002</v>
      </c>
      <c r="G164" s="18">
        <f t="shared" si="34"/>
        <v>0</v>
      </c>
      <c r="H164" s="19">
        <f t="shared" si="35"/>
        <v>0</v>
      </c>
      <c r="I164" s="18">
        <f t="shared" si="36"/>
        <v>0</v>
      </c>
      <c r="J164" s="19">
        <f t="shared" si="37"/>
        <v>0</v>
      </c>
    </row>
    <row r="165" spans="2:10" x14ac:dyDescent="0.4">
      <c r="B165" s="6" t="s">
        <v>340</v>
      </c>
      <c r="C165" s="20" t="s">
        <v>341</v>
      </c>
      <c r="D165" s="17">
        <f>VLOOKUP(B165,BS!$A:$S,18,FALSE)-VLOOKUP(B165,BS!$A:$S,$C$1+5,FALSE)-VLOOKUP(B165,BS!$A:$S,$C$1+4,FALSE)</f>
        <v>0</v>
      </c>
      <c r="E165" s="17">
        <f>VLOOKUP(B165,BS!$A:$S,18,FALSE)-VLOOKUP(B165,BS!$A:$S,$C$1+5,FALSE)</f>
        <v>0</v>
      </c>
      <c r="F165" s="17">
        <f>VLOOKUP(B165,BS!$A:$S,18,FALSE)</f>
        <v>0</v>
      </c>
      <c r="G165" s="18">
        <f t="shared" si="34"/>
        <v>0</v>
      </c>
      <c r="H165" s="19">
        <f t="shared" si="35"/>
        <v>0</v>
      </c>
      <c r="I165" s="18">
        <f t="shared" si="36"/>
        <v>0</v>
      </c>
      <c r="J165" s="19">
        <f t="shared" si="37"/>
        <v>0</v>
      </c>
    </row>
    <row r="166" spans="2:10" x14ac:dyDescent="0.4">
      <c r="B166" s="15" t="s">
        <v>342</v>
      </c>
      <c r="C166" s="16" t="s">
        <v>343</v>
      </c>
      <c r="D166" s="17">
        <f>VLOOKUP(B166,BS!$A:$S,18,FALSE)-VLOOKUP(B166,BS!$A:$S,$C$1+5,FALSE)-VLOOKUP(B166,BS!$A:$S,$C$1+4,FALSE)</f>
        <v>0</v>
      </c>
      <c r="E166" s="17">
        <f>VLOOKUP(B166,BS!$A:$S,18,FALSE)-VLOOKUP(B166,BS!$A:$S,$C$1+5,FALSE)</f>
        <v>0</v>
      </c>
      <c r="F166" s="17">
        <f>VLOOKUP(B166,BS!$A:$S,18,FALSE)</f>
        <v>0</v>
      </c>
      <c r="G166" s="18">
        <f t="shared" si="34"/>
        <v>0</v>
      </c>
      <c r="H166" s="19">
        <f t="shared" si="35"/>
        <v>0</v>
      </c>
      <c r="I166" s="18">
        <f t="shared" si="36"/>
        <v>0</v>
      </c>
      <c r="J166" s="19">
        <f t="shared" si="37"/>
        <v>0</v>
      </c>
    </row>
    <row r="167" spans="2:10" x14ac:dyDescent="0.4">
      <c r="B167" s="6" t="s">
        <v>344</v>
      </c>
      <c r="C167" s="20" t="s">
        <v>345</v>
      </c>
      <c r="D167" s="17">
        <f>VLOOKUP(B167,BS!$A:$S,18,FALSE)-VLOOKUP(B167,BS!$A:$S,$C$1+5,FALSE)-VLOOKUP(B167,BS!$A:$S,$C$1+4,FALSE)</f>
        <v>0</v>
      </c>
      <c r="E167" s="17">
        <f>VLOOKUP(B167,BS!$A:$S,18,FALSE)-VLOOKUP(B167,BS!$A:$S,$C$1+5,FALSE)</f>
        <v>0</v>
      </c>
      <c r="F167" s="17">
        <f>VLOOKUP(B167,BS!$A:$S,18,FALSE)</f>
        <v>0</v>
      </c>
      <c r="G167" s="18">
        <f t="shared" si="34"/>
        <v>0</v>
      </c>
      <c r="H167" s="19">
        <f t="shared" si="35"/>
        <v>0</v>
      </c>
      <c r="I167" s="18">
        <f t="shared" si="36"/>
        <v>0</v>
      </c>
      <c r="J167" s="19">
        <f t="shared" si="37"/>
        <v>0</v>
      </c>
    </row>
    <row r="168" spans="2:10" x14ac:dyDescent="0.4">
      <c r="B168" s="6" t="s">
        <v>346</v>
      </c>
      <c r="C168" s="20" t="s">
        <v>347</v>
      </c>
      <c r="D168" s="17">
        <f>VLOOKUP(B168,BS!$A:$S,18,FALSE)-VLOOKUP(B168,BS!$A:$S,$C$1+5,FALSE)-VLOOKUP(B168,BS!$A:$S,$C$1+4,FALSE)</f>
        <v>0</v>
      </c>
      <c r="E168" s="17">
        <f>VLOOKUP(B168,BS!$A:$S,18,FALSE)-VLOOKUP(B168,BS!$A:$S,$C$1+5,FALSE)</f>
        <v>0</v>
      </c>
      <c r="F168" s="17">
        <f>VLOOKUP(B168,BS!$A:$S,18,FALSE)</f>
        <v>0</v>
      </c>
      <c r="G168" s="18">
        <f t="shared" si="34"/>
        <v>0</v>
      </c>
      <c r="H168" s="19">
        <f t="shared" si="35"/>
        <v>0</v>
      </c>
      <c r="I168" s="18">
        <f t="shared" si="36"/>
        <v>0</v>
      </c>
      <c r="J168" s="19">
        <f t="shared" si="37"/>
        <v>0</v>
      </c>
    </row>
    <row r="169" spans="2:10" x14ac:dyDescent="0.4">
      <c r="B169" s="6" t="s">
        <v>348</v>
      </c>
      <c r="C169" s="20" t="s">
        <v>349</v>
      </c>
      <c r="D169" s="17">
        <f>VLOOKUP(B169,BS!$A:$S,18,FALSE)-VLOOKUP(B169,BS!$A:$S,$C$1+5,FALSE)-VLOOKUP(B169,BS!$A:$S,$C$1+4,FALSE)</f>
        <v>0</v>
      </c>
      <c r="E169" s="17">
        <f>VLOOKUP(B169,BS!$A:$S,18,FALSE)-VLOOKUP(B169,BS!$A:$S,$C$1+5,FALSE)</f>
        <v>0</v>
      </c>
      <c r="F169" s="17">
        <f>VLOOKUP(B169,BS!$A:$S,18,FALSE)</f>
        <v>0</v>
      </c>
      <c r="G169" s="18">
        <f t="shared" si="34"/>
        <v>0</v>
      </c>
      <c r="H169" s="19">
        <f t="shared" si="35"/>
        <v>0</v>
      </c>
      <c r="I169" s="18">
        <f t="shared" si="36"/>
        <v>0</v>
      </c>
      <c r="J169" s="19">
        <f t="shared" si="37"/>
        <v>0</v>
      </c>
    </row>
    <row r="170" spans="2:10" x14ac:dyDescent="0.4">
      <c r="B170" s="6" t="s">
        <v>350</v>
      </c>
      <c r="C170" s="20" t="s">
        <v>351</v>
      </c>
      <c r="D170" s="17">
        <f>VLOOKUP(B170,BS!$A:$S,18,FALSE)-VLOOKUP(B170,BS!$A:$S,$C$1+5,FALSE)-VLOOKUP(B170,BS!$A:$S,$C$1+4,FALSE)</f>
        <v>0</v>
      </c>
      <c r="E170" s="17">
        <f>VLOOKUP(B170,BS!$A:$S,18,FALSE)-VLOOKUP(B170,BS!$A:$S,$C$1+5,FALSE)</f>
        <v>0</v>
      </c>
      <c r="F170" s="17">
        <f>VLOOKUP(B170,BS!$A:$S,18,FALSE)</f>
        <v>0</v>
      </c>
      <c r="G170" s="18">
        <f t="shared" si="34"/>
        <v>0</v>
      </c>
      <c r="H170" s="19">
        <f t="shared" si="35"/>
        <v>0</v>
      </c>
      <c r="I170" s="18">
        <f t="shared" si="36"/>
        <v>0</v>
      </c>
      <c r="J170" s="19">
        <f t="shared" si="37"/>
        <v>0</v>
      </c>
    </row>
    <row r="171" spans="2:10" x14ac:dyDescent="0.4">
      <c r="B171" s="6" t="s">
        <v>352</v>
      </c>
      <c r="C171" s="20" t="s">
        <v>353</v>
      </c>
      <c r="D171" s="17">
        <f>VLOOKUP(B171,BS!$A:$S,18,FALSE)-VLOOKUP(B171,BS!$A:$S,$C$1+5,FALSE)-VLOOKUP(B171,BS!$A:$S,$C$1+4,FALSE)</f>
        <v>0</v>
      </c>
      <c r="E171" s="17">
        <f>VLOOKUP(B171,BS!$A:$S,18,FALSE)-VLOOKUP(B171,BS!$A:$S,$C$1+5,FALSE)</f>
        <v>0</v>
      </c>
      <c r="F171" s="17">
        <f>VLOOKUP(B171,BS!$A:$S,18,FALSE)</f>
        <v>0</v>
      </c>
      <c r="G171" s="18">
        <f t="shared" si="34"/>
        <v>0</v>
      </c>
      <c r="H171" s="19">
        <f t="shared" si="35"/>
        <v>0</v>
      </c>
      <c r="I171" s="18">
        <f t="shared" si="36"/>
        <v>0</v>
      </c>
      <c r="J171" s="19">
        <f t="shared" si="37"/>
        <v>0</v>
      </c>
    </row>
    <row r="172" spans="2:10" x14ac:dyDescent="0.4">
      <c r="B172" s="6" t="s">
        <v>354</v>
      </c>
      <c r="C172" s="20" t="s">
        <v>355</v>
      </c>
      <c r="D172" s="17">
        <f>VLOOKUP(B172,BS!$A:$S,18,FALSE)-VLOOKUP(B172,BS!$A:$S,$C$1+5,FALSE)-VLOOKUP(B172,BS!$A:$S,$C$1+4,FALSE)</f>
        <v>0</v>
      </c>
      <c r="E172" s="17">
        <f>VLOOKUP(B172,BS!$A:$S,18,FALSE)-VLOOKUP(B172,BS!$A:$S,$C$1+5,FALSE)</f>
        <v>0</v>
      </c>
      <c r="F172" s="17">
        <f>VLOOKUP(B172,BS!$A:$S,18,FALSE)</f>
        <v>0</v>
      </c>
      <c r="G172" s="18">
        <f t="shared" si="34"/>
        <v>0</v>
      </c>
      <c r="H172" s="19">
        <f t="shared" si="35"/>
        <v>0</v>
      </c>
      <c r="I172" s="18">
        <f t="shared" si="36"/>
        <v>0</v>
      </c>
      <c r="J172" s="19">
        <f t="shared" si="37"/>
        <v>0</v>
      </c>
    </row>
    <row r="173" spans="2:10" x14ac:dyDescent="0.4">
      <c r="B173" s="6" t="s">
        <v>356</v>
      </c>
      <c r="C173" s="20" t="s">
        <v>357</v>
      </c>
      <c r="D173" s="17">
        <f>VLOOKUP(B173,BS!$A:$S,18,FALSE)-VLOOKUP(B173,BS!$A:$S,$C$1+5,FALSE)-VLOOKUP(B173,BS!$A:$S,$C$1+4,FALSE)</f>
        <v>0</v>
      </c>
      <c r="E173" s="17">
        <f>VLOOKUP(B173,BS!$A:$S,18,FALSE)-VLOOKUP(B173,BS!$A:$S,$C$1+5,FALSE)</f>
        <v>0</v>
      </c>
      <c r="F173" s="17">
        <f>VLOOKUP(B173,BS!$A:$S,18,FALSE)</f>
        <v>0</v>
      </c>
      <c r="G173" s="18">
        <f t="shared" si="34"/>
        <v>0</v>
      </c>
      <c r="H173" s="19">
        <f t="shared" si="35"/>
        <v>0</v>
      </c>
      <c r="I173" s="18">
        <f t="shared" si="36"/>
        <v>0</v>
      </c>
      <c r="J173" s="19">
        <f t="shared" si="37"/>
        <v>0</v>
      </c>
    </row>
    <row r="174" spans="2:10" x14ac:dyDescent="0.4">
      <c r="B174" s="15" t="s">
        <v>358</v>
      </c>
      <c r="C174" s="16" t="s">
        <v>359</v>
      </c>
      <c r="D174" s="17">
        <f>VLOOKUP(B174,BS!$A:$S,18,FALSE)-VLOOKUP(B174,BS!$A:$S,$C$1+5,FALSE)-VLOOKUP(B174,BS!$A:$S,$C$1+4,FALSE)</f>
        <v>0</v>
      </c>
      <c r="E174" s="17">
        <f>VLOOKUP(B174,BS!$A:$S,18,FALSE)-VLOOKUP(B174,BS!$A:$S,$C$1+5,FALSE)</f>
        <v>0</v>
      </c>
      <c r="F174" s="17">
        <f>VLOOKUP(B174,BS!$A:$S,18,FALSE)</f>
        <v>0</v>
      </c>
      <c r="G174" s="18">
        <f t="shared" si="34"/>
        <v>0</v>
      </c>
      <c r="H174" s="19">
        <f t="shared" si="35"/>
        <v>0</v>
      </c>
      <c r="I174" s="18">
        <f t="shared" si="36"/>
        <v>0</v>
      </c>
      <c r="J174" s="19">
        <f t="shared" si="37"/>
        <v>0</v>
      </c>
    </row>
    <row r="175" spans="2:10" x14ac:dyDescent="0.4">
      <c r="B175" s="6" t="s">
        <v>360</v>
      </c>
      <c r="C175" s="20" t="s">
        <v>361</v>
      </c>
      <c r="D175" s="17">
        <f>VLOOKUP(B175,BS!$A:$S,18,FALSE)-VLOOKUP(B175,BS!$A:$S,$C$1+5,FALSE)-VLOOKUP(B175,BS!$A:$S,$C$1+4,FALSE)</f>
        <v>0</v>
      </c>
      <c r="E175" s="17">
        <f>VLOOKUP(B175,BS!$A:$S,18,FALSE)-VLOOKUP(B175,BS!$A:$S,$C$1+5,FALSE)</f>
        <v>0</v>
      </c>
      <c r="F175" s="17">
        <f>VLOOKUP(B175,BS!$A:$S,18,FALSE)</f>
        <v>0</v>
      </c>
      <c r="G175" s="18">
        <f t="shared" si="34"/>
        <v>0</v>
      </c>
      <c r="H175" s="19">
        <f t="shared" si="35"/>
        <v>0</v>
      </c>
      <c r="I175" s="18">
        <f t="shared" si="36"/>
        <v>0</v>
      </c>
      <c r="J175" s="19">
        <f t="shared" si="37"/>
        <v>0</v>
      </c>
    </row>
    <row r="176" spans="2:10" x14ac:dyDescent="0.4">
      <c r="B176" s="6" t="s">
        <v>362</v>
      </c>
      <c r="C176" s="20" t="s">
        <v>363</v>
      </c>
      <c r="D176" s="17">
        <f>VLOOKUP(B176,BS!$A:$S,18,FALSE)-VLOOKUP(B176,BS!$A:$S,$C$1+5,FALSE)-VLOOKUP(B176,BS!$A:$S,$C$1+4,FALSE)</f>
        <v>0</v>
      </c>
      <c r="E176" s="17">
        <f>VLOOKUP(B176,BS!$A:$S,18,FALSE)-VLOOKUP(B176,BS!$A:$S,$C$1+5,FALSE)</f>
        <v>0</v>
      </c>
      <c r="F176" s="17">
        <f>VLOOKUP(B176,BS!$A:$S,18,FALSE)</f>
        <v>0</v>
      </c>
      <c r="G176" s="18">
        <f t="shared" si="34"/>
        <v>0</v>
      </c>
      <c r="H176" s="19">
        <f t="shared" si="35"/>
        <v>0</v>
      </c>
      <c r="I176" s="18">
        <f t="shared" si="36"/>
        <v>0</v>
      </c>
      <c r="J176" s="19">
        <f t="shared" si="37"/>
        <v>0</v>
      </c>
    </row>
    <row r="177" spans="2:10" x14ac:dyDescent="0.4">
      <c r="B177" s="6" t="s">
        <v>364</v>
      </c>
      <c r="C177" s="20" t="s">
        <v>365</v>
      </c>
      <c r="D177" s="17">
        <f>VLOOKUP(B177,BS!$A:$S,18,FALSE)-VLOOKUP(B177,BS!$A:$S,$C$1+5,FALSE)-VLOOKUP(B177,BS!$A:$S,$C$1+4,FALSE)</f>
        <v>0</v>
      </c>
      <c r="E177" s="17">
        <f>VLOOKUP(B177,BS!$A:$S,18,FALSE)-VLOOKUP(B177,BS!$A:$S,$C$1+5,FALSE)</f>
        <v>0</v>
      </c>
      <c r="F177" s="17">
        <f>VLOOKUP(B177,BS!$A:$S,18,FALSE)</f>
        <v>0</v>
      </c>
      <c r="G177" s="18">
        <f t="shared" si="34"/>
        <v>0</v>
      </c>
      <c r="H177" s="19">
        <f t="shared" si="35"/>
        <v>0</v>
      </c>
      <c r="I177" s="18">
        <f t="shared" si="36"/>
        <v>0</v>
      </c>
      <c r="J177" s="19">
        <f t="shared" si="37"/>
        <v>0</v>
      </c>
    </row>
    <row r="178" spans="2:10" x14ac:dyDescent="0.4">
      <c r="B178" s="6" t="s">
        <v>366</v>
      </c>
      <c r="C178" s="20" t="s">
        <v>367</v>
      </c>
      <c r="D178" s="17">
        <f>VLOOKUP(B178,BS!$A:$S,18,FALSE)-VLOOKUP(B178,BS!$A:$S,$C$1+5,FALSE)-VLOOKUP(B178,BS!$A:$S,$C$1+4,FALSE)</f>
        <v>0</v>
      </c>
      <c r="E178" s="17">
        <f>VLOOKUP(B178,BS!$A:$S,18,FALSE)-VLOOKUP(B178,BS!$A:$S,$C$1+5,FALSE)</f>
        <v>0</v>
      </c>
      <c r="F178" s="17">
        <f>VLOOKUP(B178,BS!$A:$S,18,FALSE)</f>
        <v>0</v>
      </c>
      <c r="G178" s="18">
        <f t="shared" si="34"/>
        <v>0</v>
      </c>
      <c r="H178" s="19">
        <f t="shared" si="35"/>
        <v>0</v>
      </c>
      <c r="I178" s="18">
        <f t="shared" si="36"/>
        <v>0</v>
      </c>
      <c r="J178" s="19">
        <f t="shared" si="37"/>
        <v>0</v>
      </c>
    </row>
    <row r="179" spans="2:10" x14ac:dyDescent="0.4">
      <c r="B179" s="6" t="s">
        <v>368</v>
      </c>
      <c r="C179" s="20" t="s">
        <v>369</v>
      </c>
      <c r="D179" s="17">
        <f>VLOOKUP(B179,BS!$A:$S,18,FALSE)-VLOOKUP(B179,BS!$A:$S,$C$1+5,FALSE)-VLOOKUP(B179,BS!$A:$S,$C$1+4,FALSE)</f>
        <v>0</v>
      </c>
      <c r="E179" s="17">
        <f>VLOOKUP(B179,BS!$A:$S,18,FALSE)-VLOOKUP(B179,BS!$A:$S,$C$1+5,FALSE)</f>
        <v>0</v>
      </c>
      <c r="F179" s="17">
        <f>VLOOKUP(B179,BS!$A:$S,18,FALSE)</f>
        <v>0</v>
      </c>
      <c r="G179" s="18">
        <f t="shared" si="34"/>
        <v>0</v>
      </c>
      <c r="H179" s="19">
        <f t="shared" si="35"/>
        <v>0</v>
      </c>
      <c r="I179" s="18">
        <f t="shared" si="36"/>
        <v>0</v>
      </c>
      <c r="J179" s="19">
        <f t="shared" si="37"/>
        <v>0</v>
      </c>
    </row>
    <row r="180" spans="2:10" x14ac:dyDescent="0.4">
      <c r="B180" s="6" t="s">
        <v>370</v>
      </c>
      <c r="C180" s="20" t="s">
        <v>371</v>
      </c>
      <c r="D180" s="17">
        <f>VLOOKUP(B180,BS!$A:$S,18,FALSE)-VLOOKUP(B180,BS!$A:$S,$C$1+5,FALSE)-VLOOKUP(B180,BS!$A:$S,$C$1+4,FALSE)</f>
        <v>0</v>
      </c>
      <c r="E180" s="17">
        <f>VLOOKUP(B180,BS!$A:$S,18,FALSE)-VLOOKUP(B180,BS!$A:$S,$C$1+5,FALSE)</f>
        <v>0</v>
      </c>
      <c r="F180" s="17">
        <f>VLOOKUP(B180,BS!$A:$S,18,FALSE)</f>
        <v>0</v>
      </c>
      <c r="G180" s="18">
        <f t="shared" si="34"/>
        <v>0</v>
      </c>
      <c r="H180" s="19">
        <f t="shared" si="35"/>
        <v>0</v>
      </c>
      <c r="I180" s="18">
        <f t="shared" si="36"/>
        <v>0</v>
      </c>
      <c r="J180" s="19">
        <f t="shared" si="37"/>
        <v>0</v>
      </c>
    </row>
    <row r="181" spans="2:10" x14ac:dyDescent="0.4">
      <c r="B181" s="6" t="s">
        <v>372</v>
      </c>
      <c r="C181" s="20" t="s">
        <v>373</v>
      </c>
      <c r="D181" s="17">
        <f>VLOOKUP(B181,BS!$A:$S,18,FALSE)-VLOOKUP(B181,BS!$A:$S,$C$1+5,FALSE)-VLOOKUP(B181,BS!$A:$S,$C$1+4,FALSE)</f>
        <v>0</v>
      </c>
      <c r="E181" s="17">
        <f>VLOOKUP(B181,BS!$A:$S,18,FALSE)-VLOOKUP(B181,BS!$A:$S,$C$1+5,FALSE)</f>
        <v>0</v>
      </c>
      <c r="F181" s="17">
        <f>VLOOKUP(B181,BS!$A:$S,18,FALSE)</f>
        <v>0</v>
      </c>
      <c r="G181" s="18">
        <f t="shared" si="34"/>
        <v>0</v>
      </c>
      <c r="H181" s="19">
        <f t="shared" si="35"/>
        <v>0</v>
      </c>
      <c r="I181" s="18">
        <f t="shared" si="36"/>
        <v>0</v>
      </c>
      <c r="J181" s="19">
        <f t="shared" si="37"/>
        <v>0</v>
      </c>
    </row>
    <row r="182" spans="2:10" x14ac:dyDescent="0.4">
      <c r="B182" s="15" t="s">
        <v>374</v>
      </c>
      <c r="C182" s="16" t="s">
        <v>375</v>
      </c>
      <c r="D182" s="17">
        <f>VLOOKUP(B182,BS!$A:$S,18,FALSE)-VLOOKUP(B182,BS!$A:$S,$C$1+5,FALSE)-VLOOKUP(B182,BS!$A:$S,$C$1+4,FALSE)</f>
        <v>0</v>
      </c>
      <c r="E182" s="17">
        <f>VLOOKUP(B182,BS!$A:$S,18,FALSE)-VLOOKUP(B182,BS!$A:$S,$C$1+5,FALSE)</f>
        <v>0</v>
      </c>
      <c r="F182" s="17">
        <f>VLOOKUP(B182,BS!$A:$S,18,FALSE)</f>
        <v>0</v>
      </c>
      <c r="G182" s="18">
        <f t="shared" si="34"/>
        <v>0</v>
      </c>
      <c r="H182" s="19">
        <f t="shared" si="35"/>
        <v>0</v>
      </c>
      <c r="I182" s="18">
        <f t="shared" si="36"/>
        <v>0</v>
      </c>
      <c r="J182" s="19">
        <f t="shared" si="37"/>
        <v>0</v>
      </c>
    </row>
    <row r="183" spans="2:10" x14ac:dyDescent="0.4">
      <c r="B183" s="6" t="s">
        <v>376</v>
      </c>
      <c r="C183" s="20" t="s">
        <v>377</v>
      </c>
      <c r="D183" s="17">
        <f>VLOOKUP(B183,BS!$A:$S,18,FALSE)-VLOOKUP(B183,BS!$A:$S,$C$1+5,FALSE)-VLOOKUP(B183,BS!$A:$S,$C$1+4,FALSE)</f>
        <v>0</v>
      </c>
      <c r="E183" s="17">
        <f>VLOOKUP(B183,BS!$A:$S,18,FALSE)-VLOOKUP(B183,BS!$A:$S,$C$1+5,FALSE)</f>
        <v>0</v>
      </c>
      <c r="F183" s="17">
        <f>VLOOKUP(B183,BS!$A:$S,18,FALSE)</f>
        <v>0</v>
      </c>
      <c r="G183" s="18">
        <f t="shared" si="34"/>
        <v>0</v>
      </c>
      <c r="H183" s="19">
        <f t="shared" si="35"/>
        <v>0</v>
      </c>
      <c r="I183" s="18">
        <f t="shared" si="36"/>
        <v>0</v>
      </c>
      <c r="J183" s="19">
        <f t="shared" si="37"/>
        <v>0</v>
      </c>
    </row>
    <row r="184" spans="2:10" x14ac:dyDescent="0.4">
      <c r="B184" s="6" t="s">
        <v>378</v>
      </c>
      <c r="C184" s="20" t="s">
        <v>379</v>
      </c>
      <c r="D184" s="17">
        <f>VLOOKUP(B184,BS!$A:$S,18,FALSE)-VLOOKUP(B184,BS!$A:$S,$C$1+5,FALSE)-VLOOKUP(B184,BS!$A:$S,$C$1+4,FALSE)</f>
        <v>0</v>
      </c>
      <c r="E184" s="17">
        <f>VLOOKUP(B184,BS!$A:$S,18,FALSE)-VLOOKUP(B184,BS!$A:$S,$C$1+5,FALSE)</f>
        <v>0</v>
      </c>
      <c r="F184" s="17">
        <f>VLOOKUP(B184,BS!$A:$S,18,FALSE)</f>
        <v>0</v>
      </c>
      <c r="G184" s="18">
        <f t="shared" si="34"/>
        <v>0</v>
      </c>
      <c r="H184" s="19">
        <f t="shared" si="35"/>
        <v>0</v>
      </c>
      <c r="I184" s="18">
        <f t="shared" si="36"/>
        <v>0</v>
      </c>
      <c r="J184" s="19">
        <f t="shared" si="37"/>
        <v>0</v>
      </c>
    </row>
    <row r="185" spans="2:10" x14ac:dyDescent="0.4">
      <c r="B185" s="6" t="s">
        <v>380</v>
      </c>
      <c r="C185" s="20" t="s">
        <v>381</v>
      </c>
      <c r="D185" s="17">
        <f>VLOOKUP(B185,BS!$A:$S,18,FALSE)-VLOOKUP(B185,BS!$A:$S,$C$1+5,FALSE)-VLOOKUP(B185,BS!$A:$S,$C$1+4,FALSE)</f>
        <v>0</v>
      </c>
      <c r="E185" s="17">
        <f>VLOOKUP(B185,BS!$A:$S,18,FALSE)-VLOOKUP(B185,BS!$A:$S,$C$1+5,FALSE)</f>
        <v>0</v>
      </c>
      <c r="F185" s="17">
        <f>VLOOKUP(B185,BS!$A:$S,18,FALSE)</f>
        <v>0</v>
      </c>
      <c r="G185" s="18">
        <f t="shared" si="34"/>
        <v>0</v>
      </c>
      <c r="H185" s="19">
        <f t="shared" si="35"/>
        <v>0</v>
      </c>
      <c r="I185" s="18">
        <f t="shared" si="36"/>
        <v>0</v>
      </c>
      <c r="J185" s="19">
        <f t="shared" si="37"/>
        <v>0</v>
      </c>
    </row>
    <row r="186" spans="2:10" x14ac:dyDescent="0.4">
      <c r="B186" s="6" t="s">
        <v>382</v>
      </c>
      <c r="C186" s="20" t="s">
        <v>383</v>
      </c>
      <c r="D186" s="17">
        <f>VLOOKUP(B186,BS!$A:$S,18,FALSE)-VLOOKUP(B186,BS!$A:$S,$C$1+5,FALSE)-VLOOKUP(B186,BS!$A:$S,$C$1+4,FALSE)</f>
        <v>0</v>
      </c>
      <c r="E186" s="17">
        <f>VLOOKUP(B186,BS!$A:$S,18,FALSE)-VLOOKUP(B186,BS!$A:$S,$C$1+5,FALSE)</f>
        <v>0</v>
      </c>
      <c r="F186" s="17">
        <f>VLOOKUP(B186,BS!$A:$S,18,FALSE)</f>
        <v>0</v>
      </c>
      <c r="G186" s="18">
        <f t="shared" si="34"/>
        <v>0</v>
      </c>
      <c r="H186" s="19">
        <f t="shared" si="35"/>
        <v>0</v>
      </c>
      <c r="I186" s="18">
        <f t="shared" si="36"/>
        <v>0</v>
      </c>
      <c r="J186" s="19">
        <f t="shared" si="37"/>
        <v>0</v>
      </c>
    </row>
    <row r="187" spans="2:10" x14ac:dyDescent="0.4">
      <c r="B187" s="6" t="s">
        <v>384</v>
      </c>
      <c r="C187" s="20" t="s">
        <v>385</v>
      </c>
      <c r="D187" s="17">
        <f>VLOOKUP(B187,BS!$A:$S,18,FALSE)-VLOOKUP(B187,BS!$A:$S,$C$1+5,FALSE)-VLOOKUP(B187,BS!$A:$S,$C$1+4,FALSE)</f>
        <v>0</v>
      </c>
      <c r="E187" s="17">
        <f>VLOOKUP(B187,BS!$A:$S,18,FALSE)-VLOOKUP(B187,BS!$A:$S,$C$1+5,FALSE)</f>
        <v>0</v>
      </c>
      <c r="F187" s="17">
        <f>VLOOKUP(B187,BS!$A:$S,18,FALSE)</f>
        <v>0</v>
      </c>
      <c r="G187" s="18">
        <f t="shared" si="34"/>
        <v>0</v>
      </c>
      <c r="H187" s="19">
        <f t="shared" si="35"/>
        <v>0</v>
      </c>
      <c r="I187" s="18">
        <f t="shared" si="36"/>
        <v>0</v>
      </c>
      <c r="J187" s="19">
        <f t="shared" si="37"/>
        <v>0</v>
      </c>
    </row>
    <row r="188" spans="2:10" x14ac:dyDescent="0.4">
      <c r="B188" s="15" t="s">
        <v>386</v>
      </c>
      <c r="C188" s="16" t="s">
        <v>387</v>
      </c>
      <c r="D188" s="17">
        <f>VLOOKUP(B188,BS!$A:$S,18,FALSE)-VLOOKUP(B188,BS!$A:$S,$C$1+5,FALSE)-VLOOKUP(B188,BS!$A:$S,$C$1+4,FALSE)</f>
        <v>-1543579662.8699999</v>
      </c>
      <c r="E188" s="17">
        <f>VLOOKUP(B188,BS!$A:$S,18,FALSE)-VLOOKUP(B188,BS!$A:$S,$C$1+5,FALSE)</f>
        <v>-1646908274.3</v>
      </c>
      <c r="F188" s="17">
        <f>VLOOKUP(B188,BS!$A:$S,18,FALSE)</f>
        <v>-1622977121.0699999</v>
      </c>
      <c r="G188" s="18">
        <f t="shared" si="34"/>
        <v>-103328611.43000007</v>
      </c>
      <c r="H188" s="19">
        <f t="shared" si="35"/>
        <v>6.6940899725174988E-2</v>
      </c>
      <c r="I188" s="18">
        <f t="shared" si="36"/>
        <v>23931153.230000019</v>
      </c>
      <c r="J188" s="19">
        <f t="shared" si="37"/>
        <v>-1.4530956947296709E-2</v>
      </c>
    </row>
    <row r="189" spans="2:10" x14ac:dyDescent="0.4">
      <c r="B189" s="6" t="s">
        <v>388</v>
      </c>
      <c r="C189" s="20" t="s">
        <v>389</v>
      </c>
      <c r="D189" s="17">
        <f>VLOOKUP(B189,BS!$A:$S,18,FALSE)-VLOOKUP(B189,BS!$A:$S,$C$1+5,FALSE)-VLOOKUP(B189,BS!$A:$S,$C$1+4,FALSE)</f>
        <v>0</v>
      </c>
      <c r="E189" s="17">
        <f>VLOOKUP(B189,BS!$A:$S,18,FALSE)-VLOOKUP(B189,BS!$A:$S,$C$1+5,FALSE)</f>
        <v>0</v>
      </c>
      <c r="F189" s="17">
        <f>VLOOKUP(B189,BS!$A:$S,18,FALSE)</f>
        <v>0</v>
      </c>
      <c r="G189" s="18">
        <f t="shared" si="34"/>
        <v>0</v>
      </c>
      <c r="H189" s="19">
        <f t="shared" si="35"/>
        <v>0</v>
      </c>
      <c r="I189" s="18">
        <f t="shared" si="36"/>
        <v>0</v>
      </c>
      <c r="J189" s="19">
        <f t="shared" si="37"/>
        <v>0</v>
      </c>
    </row>
    <row r="190" spans="2:10" x14ac:dyDescent="0.4">
      <c r="B190" s="6" t="s">
        <v>390</v>
      </c>
      <c r="C190" s="20" t="s">
        <v>391</v>
      </c>
      <c r="D190" s="17">
        <f>VLOOKUP(B190,BS!$A:$S,18,FALSE)-VLOOKUP(B190,BS!$A:$S,$C$1+5,FALSE)-VLOOKUP(B190,BS!$A:$S,$C$1+4,FALSE)</f>
        <v>0</v>
      </c>
      <c r="E190" s="17">
        <f>VLOOKUP(B190,BS!$A:$S,18,FALSE)-VLOOKUP(B190,BS!$A:$S,$C$1+5,FALSE)</f>
        <v>0</v>
      </c>
      <c r="F190" s="17">
        <f>VLOOKUP(B190,BS!$A:$S,18,FALSE)</f>
        <v>0</v>
      </c>
      <c r="G190" s="18">
        <f t="shared" si="34"/>
        <v>0</v>
      </c>
      <c r="H190" s="19">
        <f t="shared" si="35"/>
        <v>0</v>
      </c>
      <c r="I190" s="18">
        <f t="shared" si="36"/>
        <v>0</v>
      </c>
      <c r="J190" s="19">
        <f t="shared" si="37"/>
        <v>0</v>
      </c>
    </row>
    <row r="191" spans="2:10" x14ac:dyDescent="0.4">
      <c r="B191" s="6" t="s">
        <v>392</v>
      </c>
      <c r="C191" s="20" t="s">
        <v>393</v>
      </c>
      <c r="D191" s="17">
        <f>VLOOKUP(B191,BS!$A:$S,18,FALSE)-VLOOKUP(B191,BS!$A:$S,$C$1+5,FALSE)-VLOOKUP(B191,BS!$A:$S,$C$1+4,FALSE)</f>
        <v>0</v>
      </c>
      <c r="E191" s="17">
        <f>VLOOKUP(B191,BS!$A:$S,18,FALSE)-VLOOKUP(B191,BS!$A:$S,$C$1+5,FALSE)</f>
        <v>0</v>
      </c>
      <c r="F191" s="17">
        <f>VLOOKUP(B191,BS!$A:$S,18,FALSE)</f>
        <v>0</v>
      </c>
      <c r="G191" s="18">
        <f t="shared" si="34"/>
        <v>0</v>
      </c>
      <c r="H191" s="19">
        <f t="shared" si="35"/>
        <v>0</v>
      </c>
      <c r="I191" s="18">
        <f t="shared" si="36"/>
        <v>0</v>
      </c>
      <c r="J191" s="19">
        <f t="shared" si="37"/>
        <v>0</v>
      </c>
    </row>
    <row r="192" spans="2:10" x14ac:dyDescent="0.4">
      <c r="B192" s="6" t="s">
        <v>394</v>
      </c>
      <c r="C192" s="20" t="s">
        <v>395</v>
      </c>
      <c r="D192" s="17">
        <f>VLOOKUP(B192,BS!$A:$S,18,FALSE)-VLOOKUP(B192,BS!$A:$S,$C$1+5,FALSE)-VLOOKUP(B192,BS!$A:$S,$C$1+4,FALSE)</f>
        <v>0</v>
      </c>
      <c r="E192" s="17">
        <f>VLOOKUP(B192,BS!$A:$S,18,FALSE)-VLOOKUP(B192,BS!$A:$S,$C$1+5,FALSE)</f>
        <v>0</v>
      </c>
      <c r="F192" s="17">
        <f>VLOOKUP(B192,BS!$A:$S,18,FALSE)</f>
        <v>0</v>
      </c>
      <c r="G192" s="18">
        <f t="shared" si="34"/>
        <v>0</v>
      </c>
      <c r="H192" s="19">
        <f t="shared" si="35"/>
        <v>0</v>
      </c>
      <c r="I192" s="18">
        <f t="shared" si="36"/>
        <v>0</v>
      </c>
      <c r="J192" s="19">
        <f t="shared" si="37"/>
        <v>0</v>
      </c>
    </row>
    <row r="193" spans="2:10" x14ac:dyDescent="0.4">
      <c r="B193" s="6" t="s">
        <v>396</v>
      </c>
      <c r="C193" s="20" t="s">
        <v>397</v>
      </c>
      <c r="D193" s="17">
        <f>VLOOKUP(B193,BS!$A:$S,18,FALSE)-VLOOKUP(B193,BS!$A:$S,$C$1+5,FALSE)-VLOOKUP(B193,BS!$A:$S,$C$1+4,FALSE)</f>
        <v>0</v>
      </c>
      <c r="E193" s="17">
        <f>VLOOKUP(B193,BS!$A:$S,18,FALSE)-VLOOKUP(B193,BS!$A:$S,$C$1+5,FALSE)</f>
        <v>0</v>
      </c>
      <c r="F193" s="17">
        <f>VLOOKUP(B193,BS!$A:$S,18,FALSE)</f>
        <v>0</v>
      </c>
      <c r="G193" s="18">
        <f t="shared" si="34"/>
        <v>0</v>
      </c>
      <c r="H193" s="19">
        <f t="shared" si="35"/>
        <v>0</v>
      </c>
      <c r="I193" s="18">
        <f t="shared" si="36"/>
        <v>0</v>
      </c>
      <c r="J193" s="19">
        <f t="shared" si="37"/>
        <v>0</v>
      </c>
    </row>
    <row r="194" spans="2:10" x14ac:dyDescent="0.4">
      <c r="B194" s="6" t="s">
        <v>398</v>
      </c>
      <c r="C194" s="20" t="s">
        <v>399</v>
      </c>
      <c r="D194" s="17">
        <f>VLOOKUP(B194,BS!$A:$S,18,FALSE)-VLOOKUP(B194,BS!$A:$S,$C$1+5,FALSE)-VLOOKUP(B194,BS!$A:$S,$C$1+4,FALSE)</f>
        <v>-1469871758.55</v>
      </c>
      <c r="E194" s="17">
        <f>VLOOKUP(B194,BS!$A:$S,18,FALSE)-VLOOKUP(B194,BS!$A:$S,$C$1+5,FALSE)</f>
        <v>-1469871758.55</v>
      </c>
      <c r="F194" s="17">
        <f>VLOOKUP(B194,BS!$A:$S,18,FALSE)</f>
        <v>-1469871758.55</v>
      </c>
      <c r="G194" s="18">
        <f t="shared" si="34"/>
        <v>0</v>
      </c>
      <c r="H194" s="19">
        <f t="shared" si="35"/>
        <v>0</v>
      </c>
      <c r="I194" s="18">
        <f t="shared" si="36"/>
        <v>0</v>
      </c>
      <c r="J194" s="19">
        <f t="shared" si="37"/>
        <v>0</v>
      </c>
    </row>
    <row r="195" spans="2:10" x14ac:dyDescent="0.4">
      <c r="B195" s="6" t="s">
        <v>400</v>
      </c>
      <c r="C195" s="20" t="s">
        <v>401</v>
      </c>
      <c r="D195" s="17">
        <f>VLOOKUP(B195,BS!$A:$S,18,FALSE)-VLOOKUP(B195,BS!$A:$S,$C$1+5,FALSE)-VLOOKUP(B195,BS!$A:$S,$C$1+4,FALSE)</f>
        <v>-73707904.319999993</v>
      </c>
      <c r="E195" s="17">
        <f>VLOOKUP(B195,BS!$A:$S,18,FALSE)-VLOOKUP(B195,BS!$A:$S,$C$1+5,FALSE)</f>
        <v>-177036515.75</v>
      </c>
      <c r="F195" s="17">
        <f>VLOOKUP(B195,BS!$A:$S,18,FALSE)</f>
        <v>-153105362.52000001</v>
      </c>
      <c r="G195" s="18">
        <f t="shared" si="34"/>
        <v>-103328611.43000001</v>
      </c>
      <c r="H195" s="19">
        <f t="shared" si="35"/>
        <v>1.4018660872706796</v>
      </c>
      <c r="I195" s="18">
        <f t="shared" si="36"/>
        <v>23931153.229999989</v>
      </c>
      <c r="J195" s="19">
        <f t="shared" si="37"/>
        <v>-0.13517636815556222</v>
      </c>
    </row>
    <row r="196" spans="2:10" x14ac:dyDescent="0.4">
      <c r="B196" s="15" t="s">
        <v>402</v>
      </c>
      <c r="C196" s="16" t="s">
        <v>403</v>
      </c>
      <c r="D196" s="17">
        <f>VLOOKUP(B196,BS!$A:$S,18,FALSE)-VLOOKUP(B196,BS!$A:$S,$C$1+5,FALSE)-VLOOKUP(B196,BS!$A:$S,$C$1+4,FALSE)</f>
        <v>0</v>
      </c>
      <c r="E196" s="17">
        <f>VLOOKUP(B196,BS!$A:$S,18,FALSE)-VLOOKUP(B196,BS!$A:$S,$C$1+5,FALSE)</f>
        <v>0</v>
      </c>
      <c r="F196" s="17">
        <f>VLOOKUP(B196,BS!$A:$S,18,FALSE)</f>
        <v>0</v>
      </c>
      <c r="G196" s="18">
        <f t="shared" si="34"/>
        <v>0</v>
      </c>
      <c r="H196" s="19">
        <f t="shared" si="35"/>
        <v>0</v>
      </c>
      <c r="I196" s="18">
        <f t="shared" si="36"/>
        <v>0</v>
      </c>
      <c r="J196" s="19">
        <f t="shared" si="37"/>
        <v>0</v>
      </c>
    </row>
    <row r="197" spans="2:10" x14ac:dyDescent="0.4">
      <c r="B197" s="6" t="s">
        <v>404</v>
      </c>
      <c r="C197" s="20" t="s">
        <v>405</v>
      </c>
      <c r="D197" s="17">
        <f>VLOOKUP(B197,BS!$A:$S,18,FALSE)-VLOOKUP(B197,BS!$A:$S,$C$1+5,FALSE)-VLOOKUP(B197,BS!$A:$S,$C$1+4,FALSE)</f>
        <v>0</v>
      </c>
      <c r="E197" s="17">
        <f>VLOOKUP(B197,BS!$A:$S,18,FALSE)-VLOOKUP(B197,BS!$A:$S,$C$1+5,FALSE)</f>
        <v>0</v>
      </c>
      <c r="F197" s="17">
        <f>VLOOKUP(B197,BS!$A:$S,18,FALSE)</f>
        <v>0</v>
      </c>
      <c r="G197" s="18">
        <f t="shared" ref="G197:G205" si="46">E197-D197</f>
        <v>0</v>
      </c>
      <c r="H197" s="19">
        <f t="shared" ref="H197:H205" si="47">IFERROR(G197/D197,0)</f>
        <v>0</v>
      </c>
      <c r="I197" s="18">
        <f t="shared" ref="I197:I205" si="48">F197-E197</f>
        <v>0</v>
      </c>
      <c r="J197" s="19">
        <f t="shared" ref="J197:J205" si="49">IFERROR(I197/E197,0)</f>
        <v>0</v>
      </c>
    </row>
    <row r="198" spans="2:10" x14ac:dyDescent="0.4">
      <c r="B198" s="6" t="s">
        <v>406</v>
      </c>
      <c r="C198" s="20" t="s">
        <v>407</v>
      </c>
      <c r="D198" s="17">
        <f>VLOOKUP(B198,BS!$A:$S,18,FALSE)-VLOOKUP(B198,BS!$A:$S,$C$1+5,FALSE)-VLOOKUP(B198,BS!$A:$S,$C$1+4,FALSE)</f>
        <v>0</v>
      </c>
      <c r="E198" s="17">
        <f>VLOOKUP(B198,BS!$A:$S,18,FALSE)-VLOOKUP(B198,BS!$A:$S,$C$1+5,FALSE)</f>
        <v>0</v>
      </c>
      <c r="F198" s="17">
        <f>VLOOKUP(B198,BS!$A:$S,18,FALSE)</f>
        <v>0</v>
      </c>
      <c r="G198" s="18">
        <f t="shared" si="46"/>
        <v>0</v>
      </c>
      <c r="H198" s="19">
        <f t="shared" si="47"/>
        <v>0</v>
      </c>
      <c r="I198" s="18">
        <f t="shared" si="48"/>
        <v>0</v>
      </c>
      <c r="J198" s="19">
        <f t="shared" si="49"/>
        <v>0</v>
      </c>
    </row>
    <row r="199" spans="2:10" x14ac:dyDescent="0.4">
      <c r="B199" s="6" t="s">
        <v>408</v>
      </c>
      <c r="C199" s="20" t="s">
        <v>409</v>
      </c>
      <c r="D199" s="17">
        <f>VLOOKUP(B199,BS!$A:$S,18,FALSE)-VLOOKUP(B199,BS!$A:$S,$C$1+5,FALSE)-VLOOKUP(B199,BS!$A:$S,$C$1+4,FALSE)</f>
        <v>0</v>
      </c>
      <c r="E199" s="17">
        <f>VLOOKUP(B199,BS!$A:$S,18,FALSE)-VLOOKUP(B199,BS!$A:$S,$C$1+5,FALSE)</f>
        <v>0</v>
      </c>
      <c r="F199" s="17">
        <f>VLOOKUP(B199,BS!$A:$S,18,FALSE)</f>
        <v>0</v>
      </c>
      <c r="G199" s="18">
        <f t="shared" si="46"/>
        <v>0</v>
      </c>
      <c r="H199" s="19">
        <f t="shared" si="47"/>
        <v>0</v>
      </c>
      <c r="I199" s="18">
        <f t="shared" si="48"/>
        <v>0</v>
      </c>
      <c r="J199" s="19">
        <f t="shared" si="49"/>
        <v>0</v>
      </c>
    </row>
    <row r="200" spans="2:10" x14ac:dyDescent="0.4">
      <c r="B200" s="6" t="s">
        <v>410</v>
      </c>
      <c r="C200" s="20" t="s">
        <v>411</v>
      </c>
      <c r="D200" s="17">
        <f>VLOOKUP(B200,BS!$A:$S,18,FALSE)-VLOOKUP(B200,BS!$A:$S,$C$1+5,FALSE)-VLOOKUP(B200,BS!$A:$S,$C$1+4,FALSE)</f>
        <v>0</v>
      </c>
      <c r="E200" s="17">
        <f>VLOOKUP(B200,BS!$A:$S,18,FALSE)-VLOOKUP(B200,BS!$A:$S,$C$1+5,FALSE)</f>
        <v>0</v>
      </c>
      <c r="F200" s="17">
        <f>VLOOKUP(B200,BS!$A:$S,18,FALSE)</f>
        <v>0</v>
      </c>
      <c r="G200" s="18">
        <f t="shared" si="46"/>
        <v>0</v>
      </c>
      <c r="H200" s="19">
        <f t="shared" si="47"/>
        <v>0</v>
      </c>
      <c r="I200" s="18">
        <f t="shared" si="48"/>
        <v>0</v>
      </c>
      <c r="J200" s="19">
        <f t="shared" si="49"/>
        <v>0</v>
      </c>
    </row>
    <row r="201" spans="2:10" x14ac:dyDescent="0.4">
      <c r="B201" s="6" t="s">
        <v>412</v>
      </c>
      <c r="C201" s="20" t="s">
        <v>413</v>
      </c>
      <c r="D201" s="17">
        <f>VLOOKUP(B201,BS!$A:$S,18,FALSE)-VLOOKUP(B201,BS!$A:$S,$C$1+5,FALSE)-VLOOKUP(B201,BS!$A:$S,$C$1+4,FALSE)</f>
        <v>0</v>
      </c>
      <c r="E201" s="17">
        <f>VLOOKUP(B201,BS!$A:$S,18,FALSE)-VLOOKUP(B201,BS!$A:$S,$C$1+5,FALSE)</f>
        <v>0</v>
      </c>
      <c r="F201" s="17">
        <f>VLOOKUP(B201,BS!$A:$S,18,FALSE)</f>
        <v>0</v>
      </c>
      <c r="G201" s="18">
        <f t="shared" si="46"/>
        <v>0</v>
      </c>
      <c r="H201" s="19">
        <f t="shared" si="47"/>
        <v>0</v>
      </c>
      <c r="I201" s="18">
        <f t="shared" si="48"/>
        <v>0</v>
      </c>
      <c r="J201" s="19">
        <f t="shared" si="49"/>
        <v>0</v>
      </c>
    </row>
    <row r="202" spans="2:10" x14ac:dyDescent="0.4">
      <c r="B202" s="6" t="s">
        <v>414</v>
      </c>
      <c r="C202" s="20" t="s">
        <v>415</v>
      </c>
      <c r="D202" s="17">
        <f>VLOOKUP(B202,BS!$A:$S,18,FALSE)-VLOOKUP(B202,BS!$A:$S,$C$1+5,FALSE)-VLOOKUP(B202,BS!$A:$S,$C$1+4,FALSE)</f>
        <v>0</v>
      </c>
      <c r="E202" s="17">
        <f>VLOOKUP(B202,BS!$A:$S,18,FALSE)-VLOOKUP(B202,BS!$A:$S,$C$1+5,FALSE)</f>
        <v>0</v>
      </c>
      <c r="F202" s="17">
        <f>VLOOKUP(B202,BS!$A:$S,18,FALSE)</f>
        <v>0</v>
      </c>
      <c r="G202" s="18">
        <f t="shared" si="46"/>
        <v>0</v>
      </c>
      <c r="H202" s="19">
        <f t="shared" si="47"/>
        <v>0</v>
      </c>
      <c r="I202" s="18">
        <f t="shared" si="48"/>
        <v>0</v>
      </c>
      <c r="J202" s="19">
        <f t="shared" si="49"/>
        <v>0</v>
      </c>
    </row>
    <row r="203" spans="2:10" x14ac:dyDescent="0.4">
      <c r="B203" s="6" t="s">
        <v>416</v>
      </c>
      <c r="C203" s="20" t="s">
        <v>417</v>
      </c>
      <c r="D203" s="17">
        <f>VLOOKUP(B203,BS!$A:$S,18,FALSE)-VLOOKUP(B203,BS!$A:$S,$C$1+5,FALSE)-VLOOKUP(B203,BS!$A:$S,$C$1+4,FALSE)</f>
        <v>0</v>
      </c>
      <c r="E203" s="17">
        <f>VLOOKUP(B203,BS!$A:$S,18,FALSE)-VLOOKUP(B203,BS!$A:$S,$C$1+5,FALSE)</f>
        <v>0</v>
      </c>
      <c r="F203" s="17">
        <f>VLOOKUP(B203,BS!$A:$S,18,FALSE)</f>
        <v>0</v>
      </c>
      <c r="G203" s="18">
        <f t="shared" si="46"/>
        <v>0</v>
      </c>
      <c r="H203" s="19">
        <f t="shared" si="47"/>
        <v>0</v>
      </c>
      <c r="I203" s="18">
        <f t="shared" si="48"/>
        <v>0</v>
      </c>
      <c r="J203" s="19">
        <f t="shared" si="49"/>
        <v>0</v>
      </c>
    </row>
    <row r="204" spans="2:10" x14ac:dyDescent="0.4">
      <c r="B204" s="6" t="s">
        <v>418</v>
      </c>
      <c r="C204" s="20" t="s">
        <v>403</v>
      </c>
      <c r="D204" s="17">
        <f>VLOOKUP(B204,BS!$A:$S,18,FALSE)-VLOOKUP(B204,BS!$A:$S,$C$1+5,FALSE)-VLOOKUP(B204,BS!$A:$S,$C$1+4,FALSE)</f>
        <v>0</v>
      </c>
      <c r="E204" s="17">
        <f>VLOOKUP(B204,BS!$A:$S,18,FALSE)-VLOOKUP(B204,BS!$A:$S,$C$1+5,FALSE)</f>
        <v>0</v>
      </c>
      <c r="F204" s="17">
        <f>VLOOKUP(B204,BS!$A:$S,18,FALSE)</f>
        <v>0</v>
      </c>
      <c r="G204" s="18">
        <f t="shared" si="46"/>
        <v>0</v>
      </c>
      <c r="H204" s="19">
        <f t="shared" si="47"/>
        <v>0</v>
      </c>
      <c r="I204" s="18">
        <f t="shared" si="48"/>
        <v>0</v>
      </c>
      <c r="J204" s="19">
        <f t="shared" si="49"/>
        <v>0</v>
      </c>
    </row>
    <row r="205" spans="2:10" x14ac:dyDescent="0.4">
      <c r="B205" s="15" t="s">
        <v>419</v>
      </c>
      <c r="C205" s="25" t="s">
        <v>420</v>
      </c>
      <c r="D205" s="22">
        <f>VLOOKUP(B205,BS!$A:$S,18,FALSE)-VLOOKUP(B205,BS!$A:$S,$C$1+5,FALSE)-VLOOKUP(B205,BS!$A:$S,$C$1+4,FALSE)</f>
        <v>2635767343.27</v>
      </c>
      <c r="E205" s="22">
        <f>VLOOKUP(B205,BS!$A:$S,18,FALSE)-VLOOKUP(B205,BS!$A:$S,$C$1+5,FALSE)</f>
        <v>2592651555.29</v>
      </c>
      <c r="F205" s="22">
        <f>VLOOKUP(B205,BS!$A:$S,18,FALSE)</f>
        <v>2494183256.1700001</v>
      </c>
      <c r="G205" s="23">
        <f t="shared" si="46"/>
        <v>-43115787.980000019</v>
      </c>
      <c r="H205" s="24">
        <f t="shared" si="47"/>
        <v>-1.6357964252834804E-2</v>
      </c>
      <c r="I205" s="23">
        <f t="shared" si="48"/>
        <v>-98468299.119999886</v>
      </c>
      <c r="J205" s="24">
        <f t="shared" si="49"/>
        <v>-3.7979765896071507E-2</v>
      </c>
    </row>
  </sheetData>
  <autoFilter ref="C3:T205" xr:uid="{F0124AAA-D112-44A4-866F-85B4211F62CA}"/>
  <mergeCells count="10">
    <mergeCell ref="V5:X5"/>
    <mergeCell ref="V9:X9"/>
    <mergeCell ref="V13:X13"/>
    <mergeCell ref="V23:X23"/>
    <mergeCell ref="V18:X18"/>
    <mergeCell ref="G2:H2"/>
    <mergeCell ref="I2:J2"/>
    <mergeCell ref="Q2:R2"/>
    <mergeCell ref="S2:T2"/>
    <mergeCell ref="V1:X1"/>
  </mergeCells>
  <phoneticPr fontId="3" type="noConversion"/>
  <conditionalFormatting sqref="H4:H205">
    <cfRule type="cellIs" dxfId="7" priority="7" operator="greaterThan">
      <formula>0.09</formula>
    </cfRule>
    <cfRule type="cellIs" dxfId="6" priority="8" operator="lessThan">
      <formula>-0.09</formula>
    </cfRule>
    <cfRule type="cellIs" dxfId="5" priority="9" operator="lessThan">
      <formula>-0.1</formula>
    </cfRule>
    <cfRule type="cellIs" dxfId="4" priority="10" operator="greaterThan">
      <formula>0.1</formula>
    </cfRule>
  </conditionalFormatting>
  <conditionalFormatting sqref="R4:R149 T4:T149 J4:J205">
    <cfRule type="cellIs" dxfId="3" priority="5" operator="lessThan">
      <formula>-0.09</formula>
    </cfRule>
    <cfRule type="cellIs" dxfId="2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D1:D2 N1:N2 D4:D1048576 C1 B2:C1048576 N4:N1048576 L1:M1048576" xr:uid="{E4707317-9B0A-49A0-8A40-69BF6890B98D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7786-B286-4F79-90C6-FA6866947739}">
  <dimension ref="B1:Q205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23" sqref="Q23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6" width="18.69921875" style="9" customWidth="1"/>
    <col min="7" max="7" width="8.8984375" style="10" bestFit="1" customWidth="1"/>
    <col min="8" max="8" width="10.8984375" style="9" bestFit="1" customWidth="1"/>
    <col min="9" max="9" width="14" style="6" hidden="1" customWidth="1"/>
    <col min="10" max="10" width="18.69921875" style="8" customWidth="1"/>
    <col min="11" max="12" width="18.296875" style="9" customWidth="1"/>
    <col min="13" max="13" width="16.296875" style="9" customWidth="1"/>
    <col min="14" max="14" width="8.796875" style="9"/>
    <col min="15" max="17" width="13.5" style="9" bestFit="1" customWidth="1"/>
    <col min="18" max="16384" width="8.796875" style="9"/>
  </cols>
  <sheetData>
    <row r="1" spans="2:17" x14ac:dyDescent="0.4">
      <c r="C1" s="9"/>
      <c r="P1" s="46" t="s">
        <v>713</v>
      </c>
      <c r="Q1" s="47"/>
    </row>
    <row r="2" spans="2:17" x14ac:dyDescent="0.4">
      <c r="F2" s="45" t="s">
        <v>730</v>
      </c>
      <c r="G2" s="45"/>
      <c r="M2" s="45" t="s">
        <v>730</v>
      </c>
      <c r="N2" s="45"/>
      <c r="P2" s="26" t="s">
        <v>731</v>
      </c>
      <c r="Q2" s="26" t="s">
        <v>732</v>
      </c>
    </row>
    <row r="3" spans="2:17" x14ac:dyDescent="0.4">
      <c r="B3" s="11" t="s">
        <v>0</v>
      </c>
      <c r="C3" s="12" t="s">
        <v>1</v>
      </c>
      <c r="D3" s="33" t="s">
        <v>728</v>
      </c>
      <c r="E3" s="33" t="s">
        <v>729</v>
      </c>
      <c r="F3" s="33" t="s">
        <v>708</v>
      </c>
      <c r="G3" s="34" t="s">
        <v>710</v>
      </c>
      <c r="I3" s="11" t="s">
        <v>0</v>
      </c>
      <c r="J3" s="12" t="s">
        <v>1</v>
      </c>
      <c r="K3" s="33" t="s">
        <v>728</v>
      </c>
      <c r="L3" s="33" t="s">
        <v>729</v>
      </c>
      <c r="M3" s="33" t="s">
        <v>708</v>
      </c>
      <c r="N3" s="13" t="s">
        <v>710</v>
      </c>
      <c r="P3" s="27">
        <f>K21/K4</f>
        <v>0.72662313062643302</v>
      </c>
      <c r="Q3" s="27">
        <f>L21/L4</f>
        <v>0.74143860424959318</v>
      </c>
    </row>
    <row r="4" spans="2:17" x14ac:dyDescent="0.4">
      <c r="B4" s="15" t="s">
        <v>20</v>
      </c>
      <c r="C4" s="16" t="s">
        <v>21</v>
      </c>
      <c r="D4" s="17">
        <f>VLOOKUP(B4,BS!$A:$S,5,FALSE)</f>
        <v>2879211546.1900001</v>
      </c>
      <c r="E4" s="17">
        <f>VLOOKUP(B4,BS!$A:$S,18,FALSE)</f>
        <v>2494183256.1700001</v>
      </c>
      <c r="F4" s="18">
        <f t="shared" ref="F4:F67" si="0">E4-D4</f>
        <v>-385028290.01999998</v>
      </c>
      <c r="G4" s="19">
        <f t="shared" ref="G4:G67" si="1">IFERROR(F4/D4,0)</f>
        <v>-0.13372698874089325</v>
      </c>
      <c r="I4" s="15" t="s">
        <v>422</v>
      </c>
      <c r="J4" s="16" t="s">
        <v>423</v>
      </c>
      <c r="K4" s="17">
        <f>VLOOKUP(I4,PL!$A:$S,4,FALSE)</f>
        <v>1431648951.05</v>
      </c>
      <c r="L4" s="17">
        <f>VLOOKUP(I4,PL!$A:$S,18,FALSE)</f>
        <v>541112826.70000005</v>
      </c>
      <c r="M4" s="18">
        <f t="shared" ref="M4:M37" si="2">L4-K4</f>
        <v>-890536124.3499999</v>
      </c>
      <c r="N4" s="19">
        <f t="shared" ref="N4:N37" si="3">IFERROR(M4/K4,0)</f>
        <v>-0.62203525780315272</v>
      </c>
    </row>
    <row r="5" spans="2:17" x14ac:dyDescent="0.4">
      <c r="B5" s="15" t="s">
        <v>22</v>
      </c>
      <c r="C5" s="16" t="s">
        <v>23</v>
      </c>
      <c r="D5" s="17">
        <f>VLOOKUP(B5,BS!$A:$S,5,FALSE)</f>
        <v>2652770038.8000002</v>
      </c>
      <c r="E5" s="17">
        <f>VLOOKUP(B5,BS!$A:$S,18,FALSE)</f>
        <v>2283050180.1300001</v>
      </c>
      <c r="F5" s="18">
        <f t="shared" si="0"/>
        <v>-369719858.67000008</v>
      </c>
      <c r="G5" s="19">
        <f t="shared" si="1"/>
        <v>-0.13937124336538631</v>
      </c>
      <c r="I5" s="15" t="s">
        <v>424</v>
      </c>
      <c r="J5" s="16" t="s">
        <v>425</v>
      </c>
      <c r="K5" s="17">
        <f>VLOOKUP(I5,PL!$A:$S,4,FALSE)</f>
        <v>1430964885.05</v>
      </c>
      <c r="L5" s="17">
        <f>VLOOKUP(I5,PL!$A:$S,18,FALSE)</f>
        <v>538861097.53999996</v>
      </c>
      <c r="M5" s="18">
        <f t="shared" si="2"/>
        <v>-892103787.50999999</v>
      </c>
      <c r="N5" s="19">
        <f t="shared" si="3"/>
        <v>-0.62342814755990927</v>
      </c>
      <c r="P5" s="46" t="s">
        <v>714</v>
      </c>
      <c r="Q5" s="47"/>
    </row>
    <row r="6" spans="2:17" x14ac:dyDescent="0.4">
      <c r="B6" s="15" t="s">
        <v>24</v>
      </c>
      <c r="C6" s="16" t="s">
        <v>25</v>
      </c>
      <c r="D6" s="17">
        <f>VLOOKUP(B6,BS!$A:$S,5,FALSE)</f>
        <v>1516271382.21</v>
      </c>
      <c r="E6" s="17">
        <f>VLOOKUP(B6,BS!$A:$S,18,FALSE)</f>
        <v>1173792515.1199999</v>
      </c>
      <c r="F6" s="18">
        <f t="shared" si="0"/>
        <v>-342478867.09000015</v>
      </c>
      <c r="G6" s="19">
        <f t="shared" si="1"/>
        <v>-0.22586910965161752</v>
      </c>
      <c r="I6" s="6" t="s">
        <v>426</v>
      </c>
      <c r="J6" s="20" t="s">
        <v>427</v>
      </c>
      <c r="K6" s="17">
        <f>VLOOKUP(I6,PL!$A:$S,4,FALSE)</f>
        <v>134957920</v>
      </c>
      <c r="L6" s="17">
        <f>VLOOKUP(I6,PL!$A:$S,18,FALSE)</f>
        <v>45028809.920000002</v>
      </c>
      <c r="M6" s="18">
        <f t="shared" si="2"/>
        <v>-89929110.079999998</v>
      </c>
      <c r="N6" s="19">
        <f t="shared" si="3"/>
        <v>-0.66634925968035075</v>
      </c>
      <c r="P6" s="26" t="s">
        <v>731</v>
      </c>
      <c r="Q6" s="26" t="s">
        <v>732</v>
      </c>
    </row>
    <row r="7" spans="2:17" x14ac:dyDescent="0.4">
      <c r="B7" s="6" t="s">
        <v>26</v>
      </c>
      <c r="C7" s="20" t="s">
        <v>27</v>
      </c>
      <c r="D7" s="17">
        <f>VLOOKUP(B7,BS!$A:$S,5,FALSE)</f>
        <v>604133747.91999996</v>
      </c>
      <c r="E7" s="17">
        <f>VLOOKUP(B7,BS!$A:$S,18,FALSE)</f>
        <v>479155037.81999999</v>
      </c>
      <c r="F7" s="18">
        <f t="shared" si="0"/>
        <v>-124978710.09999996</v>
      </c>
      <c r="G7" s="19">
        <f t="shared" si="1"/>
        <v>-0.20687258497029001</v>
      </c>
      <c r="I7" s="6" t="s">
        <v>428</v>
      </c>
      <c r="J7" s="20" t="s">
        <v>429</v>
      </c>
      <c r="K7" s="17">
        <f>VLOOKUP(I7,PL!$A:$S,4,FALSE)</f>
        <v>1237562782.8499999</v>
      </c>
      <c r="L7" s="17">
        <f>VLOOKUP(I7,PL!$A:$S,18,FALSE)</f>
        <v>472869171.62</v>
      </c>
      <c r="M7" s="18">
        <f t="shared" si="2"/>
        <v>-764693611.2299999</v>
      </c>
      <c r="N7" s="19">
        <f t="shared" si="3"/>
        <v>-0.61790288284928607</v>
      </c>
      <c r="P7" s="27">
        <f>D5/D114</f>
        <v>0.68836247027977793</v>
      </c>
      <c r="Q7" s="27">
        <f>E5/E114</f>
        <v>0.63036042027403294</v>
      </c>
    </row>
    <row r="8" spans="2:17" x14ac:dyDescent="0.4">
      <c r="B8" s="6" t="s">
        <v>28</v>
      </c>
      <c r="C8" s="20" t="s">
        <v>29</v>
      </c>
      <c r="D8" s="17">
        <f>VLOOKUP(B8,BS!$A:$S,5,FALSE)</f>
        <v>0</v>
      </c>
      <c r="E8" s="17">
        <f>VLOOKUP(B8,BS!$A:$S,18,FALSE)</f>
        <v>0</v>
      </c>
      <c r="F8" s="18">
        <f t="shared" si="0"/>
        <v>0</v>
      </c>
      <c r="G8" s="19">
        <f t="shared" si="1"/>
        <v>0</v>
      </c>
      <c r="I8" s="6" t="s">
        <v>430</v>
      </c>
      <c r="J8" s="20" t="s">
        <v>431</v>
      </c>
      <c r="K8" s="17">
        <f>VLOOKUP(I8,PL!$A:$S,4,FALSE)</f>
        <v>34431650.200000003</v>
      </c>
      <c r="L8" s="17">
        <f>VLOOKUP(I8,PL!$A:$S,18,FALSE)</f>
        <v>14592005.68</v>
      </c>
      <c r="M8" s="18">
        <f t="shared" si="2"/>
        <v>-19839644.520000003</v>
      </c>
      <c r="N8" s="19">
        <f t="shared" si="3"/>
        <v>-0.57620370806392551</v>
      </c>
    </row>
    <row r="9" spans="2:17" x14ac:dyDescent="0.4">
      <c r="B9" s="6" t="s">
        <v>30</v>
      </c>
      <c r="C9" s="20" t="s">
        <v>31</v>
      </c>
      <c r="D9" s="17">
        <f>VLOOKUP(B9,BS!$A:$S,5,FALSE)</f>
        <v>0</v>
      </c>
      <c r="E9" s="17">
        <f>VLOOKUP(B9,BS!$A:$S,18,FALSE)</f>
        <v>0</v>
      </c>
      <c r="F9" s="18">
        <f t="shared" si="0"/>
        <v>0</v>
      </c>
      <c r="G9" s="19">
        <f t="shared" si="1"/>
        <v>0</v>
      </c>
      <c r="I9" s="6" t="s">
        <v>432</v>
      </c>
      <c r="J9" s="20" t="s">
        <v>433</v>
      </c>
      <c r="K9" s="17">
        <f>VLOOKUP(I9,PL!$A:$S,4,FALSE)</f>
        <v>24012532</v>
      </c>
      <c r="L9" s="17">
        <f>VLOOKUP(I9,PL!$A:$S,18,FALSE)</f>
        <v>6371110.3200000003</v>
      </c>
      <c r="M9" s="18">
        <f t="shared" si="2"/>
        <v>-17641421.68</v>
      </c>
      <c r="N9" s="19">
        <f t="shared" si="3"/>
        <v>-0.73467561355045774</v>
      </c>
      <c r="P9" s="46" t="s">
        <v>715</v>
      </c>
      <c r="Q9" s="47"/>
    </row>
    <row r="10" spans="2:17" x14ac:dyDescent="0.4">
      <c r="B10" s="6" t="s">
        <v>32</v>
      </c>
      <c r="C10" s="20" t="s">
        <v>33</v>
      </c>
      <c r="D10" s="17">
        <f>VLOOKUP(B10,BS!$A:$S,5,FALSE)</f>
        <v>0</v>
      </c>
      <c r="E10" s="17">
        <f>VLOOKUP(B10,BS!$A:$S,18,FALSE)</f>
        <v>0</v>
      </c>
      <c r="F10" s="18">
        <f t="shared" si="0"/>
        <v>0</v>
      </c>
      <c r="G10" s="19">
        <f t="shared" si="1"/>
        <v>0</v>
      </c>
      <c r="I10" s="6" t="s">
        <v>434</v>
      </c>
      <c r="J10" s="20" t="s">
        <v>435</v>
      </c>
      <c r="K10" s="17">
        <f>VLOOKUP(I10,PL!$A:$S,4,FALSE)</f>
        <v>0</v>
      </c>
      <c r="L10" s="17">
        <f>VLOOKUP(I10,PL!$A:$S,18,FALSE)</f>
        <v>0</v>
      </c>
      <c r="M10" s="18">
        <f t="shared" si="2"/>
        <v>0</v>
      </c>
      <c r="N10" s="19">
        <f t="shared" si="3"/>
        <v>0</v>
      </c>
      <c r="P10" s="26" t="s">
        <v>731</v>
      </c>
      <c r="Q10" s="26" t="s">
        <v>732</v>
      </c>
    </row>
    <row r="11" spans="2:17" x14ac:dyDescent="0.4">
      <c r="B11" s="6" t="s">
        <v>34</v>
      </c>
      <c r="C11" s="20" t="s">
        <v>35</v>
      </c>
      <c r="D11" s="17">
        <f>VLOOKUP(B11,BS!$A:$S,5,FALSE)</f>
        <v>0</v>
      </c>
      <c r="E11" s="17">
        <f>VLOOKUP(B11,BS!$A:$S,18,FALSE)</f>
        <v>0</v>
      </c>
      <c r="F11" s="18">
        <f t="shared" si="0"/>
        <v>0</v>
      </c>
      <c r="G11" s="19">
        <f t="shared" si="1"/>
        <v>0</v>
      </c>
      <c r="I11" s="6" t="s">
        <v>436</v>
      </c>
      <c r="J11" s="20" t="s">
        <v>437</v>
      </c>
      <c r="K11" s="17">
        <f>VLOOKUP(I11,PL!$A:$S,4,FALSE)</f>
        <v>0</v>
      </c>
      <c r="L11" s="17">
        <f>VLOOKUP(I11,PL!$A:$S,18,FALSE)</f>
        <v>0</v>
      </c>
      <c r="M11" s="18">
        <f t="shared" si="2"/>
        <v>0</v>
      </c>
      <c r="N11" s="19">
        <f t="shared" si="3"/>
        <v>0</v>
      </c>
      <c r="P11" s="27">
        <f>D113/D162</f>
        <v>-3.9544661412828073</v>
      </c>
      <c r="Q11" s="27">
        <f>E113/E162</f>
        <v>-3.2118732615899868</v>
      </c>
    </row>
    <row r="12" spans="2:17" x14ac:dyDescent="0.4">
      <c r="B12" s="6" t="s">
        <v>36</v>
      </c>
      <c r="C12" s="20" t="s">
        <v>37</v>
      </c>
      <c r="D12" s="17">
        <f>VLOOKUP(B12,BS!$A:$S,5,FALSE)</f>
        <v>0</v>
      </c>
      <c r="E12" s="17">
        <f>VLOOKUP(B12,BS!$A:$S,18,FALSE)</f>
        <v>0</v>
      </c>
      <c r="F12" s="18">
        <f t="shared" si="0"/>
        <v>0</v>
      </c>
      <c r="G12" s="19">
        <f t="shared" si="1"/>
        <v>0</v>
      </c>
      <c r="I12" s="6" t="s">
        <v>438</v>
      </c>
      <c r="J12" s="20" t="s">
        <v>439</v>
      </c>
      <c r="K12" s="17">
        <f>VLOOKUP(I12,PL!$A:$S,4,FALSE)</f>
        <v>0</v>
      </c>
      <c r="L12" s="17">
        <f>VLOOKUP(I12,PL!$A:$S,18,FALSE)</f>
        <v>0</v>
      </c>
      <c r="M12" s="18">
        <f t="shared" si="2"/>
        <v>0</v>
      </c>
      <c r="N12" s="19">
        <f t="shared" si="3"/>
        <v>0</v>
      </c>
    </row>
    <row r="13" spans="2:17" x14ac:dyDescent="0.4">
      <c r="B13" s="6" t="s">
        <v>38</v>
      </c>
      <c r="C13" s="20" t="s">
        <v>39</v>
      </c>
      <c r="D13" s="17">
        <f>VLOOKUP(B13,BS!$A:$S,5,FALSE)</f>
        <v>712968145.02999997</v>
      </c>
      <c r="E13" s="17">
        <f>VLOOKUP(B13,BS!$A:$S,18,FALSE)</f>
        <v>560255489.44000006</v>
      </c>
      <c r="F13" s="18">
        <f t="shared" si="0"/>
        <v>-152712655.58999991</v>
      </c>
      <c r="G13" s="19">
        <f t="shared" si="1"/>
        <v>-0.21419281724511569</v>
      </c>
      <c r="I13" s="6" t="s">
        <v>440</v>
      </c>
      <c r="J13" s="20" t="s">
        <v>441</v>
      </c>
      <c r="K13" s="17">
        <f>VLOOKUP(I13,PL!$A:$S,4,FALSE)</f>
        <v>0</v>
      </c>
      <c r="L13" s="17">
        <f>VLOOKUP(I13,PL!$A:$S,18,FALSE)</f>
        <v>0</v>
      </c>
      <c r="M13" s="18">
        <f t="shared" si="2"/>
        <v>0</v>
      </c>
      <c r="N13" s="19">
        <f t="shared" si="3"/>
        <v>0</v>
      </c>
      <c r="P13" s="46" t="s">
        <v>716</v>
      </c>
      <c r="Q13" s="47"/>
    </row>
    <row r="14" spans="2:17" x14ac:dyDescent="0.4">
      <c r="B14" s="6" t="s">
        <v>40</v>
      </c>
      <c r="C14" s="20" t="s">
        <v>41</v>
      </c>
      <c r="D14" s="17">
        <f>VLOOKUP(B14,BS!$A:$S,5,FALSE)</f>
        <v>-182603381.11000001</v>
      </c>
      <c r="E14" s="17">
        <f>VLOOKUP(B14,BS!$A:$S,18,FALSE)</f>
        <v>-270197843.80000001</v>
      </c>
      <c r="F14" s="18">
        <f t="shared" si="0"/>
        <v>-87594462.689999998</v>
      </c>
      <c r="G14" s="19">
        <f t="shared" si="1"/>
        <v>0.47969792321223897</v>
      </c>
      <c r="I14" s="6" t="s">
        <v>442</v>
      </c>
      <c r="J14" s="20" t="s">
        <v>443</v>
      </c>
      <c r="K14" s="17">
        <f>VLOOKUP(I14,PL!$A:$S,4,FALSE)</f>
        <v>0</v>
      </c>
      <c r="L14" s="17">
        <f>VLOOKUP(I14,PL!$A:$S,18,FALSE)</f>
        <v>0</v>
      </c>
      <c r="M14" s="18">
        <f t="shared" si="2"/>
        <v>0</v>
      </c>
      <c r="N14" s="19">
        <f t="shared" si="3"/>
        <v>0</v>
      </c>
      <c r="P14" s="26" t="s">
        <v>731</v>
      </c>
      <c r="Q14" s="26" t="s">
        <v>732</v>
      </c>
    </row>
    <row r="15" spans="2:17" x14ac:dyDescent="0.4">
      <c r="B15" s="6" t="s">
        <v>42</v>
      </c>
      <c r="C15" s="20" t="s">
        <v>43</v>
      </c>
      <c r="D15" s="17">
        <f>VLOOKUP(B15,BS!$A:$S,5,FALSE)</f>
        <v>0</v>
      </c>
      <c r="E15" s="17">
        <f>VLOOKUP(B15,BS!$A:$S,18,FALSE)</f>
        <v>0</v>
      </c>
      <c r="F15" s="18">
        <f t="shared" si="0"/>
        <v>0</v>
      </c>
      <c r="G15" s="19">
        <f t="shared" si="1"/>
        <v>0</v>
      </c>
      <c r="I15" s="6" t="s">
        <v>444</v>
      </c>
      <c r="J15" s="20" t="s">
        <v>445</v>
      </c>
      <c r="K15" s="17">
        <f>VLOOKUP(I15,PL!$A:$S,4,FALSE)</f>
        <v>0</v>
      </c>
      <c r="L15" s="17">
        <f>VLOOKUP(I15,PL!$A:$S,18,FALSE)</f>
        <v>0</v>
      </c>
      <c r="M15" s="18">
        <f t="shared" si="2"/>
        <v>0</v>
      </c>
      <c r="N15" s="19">
        <f t="shared" si="3"/>
        <v>0</v>
      </c>
      <c r="P15" s="27">
        <f>K76/K4</f>
        <v>-0.10250442958266436</v>
      </c>
      <c r="Q15" s="27">
        <f>L76/L4</f>
        <v>-0.51475766846759163</v>
      </c>
    </row>
    <row r="16" spans="2:17" x14ac:dyDescent="0.4">
      <c r="B16" s="6" t="s">
        <v>44</v>
      </c>
      <c r="C16" s="20" t="s">
        <v>45</v>
      </c>
      <c r="D16" s="17">
        <f>VLOOKUP(B16,BS!$A:$S,5,FALSE)</f>
        <v>65612313</v>
      </c>
      <c r="E16" s="17">
        <f>VLOOKUP(B16,BS!$A:$S,18,FALSE)</f>
        <v>71001367.310000002</v>
      </c>
      <c r="F16" s="18">
        <f t="shared" si="0"/>
        <v>5389054.3100000024</v>
      </c>
      <c r="G16" s="19">
        <f t="shared" si="1"/>
        <v>8.2134801588232415E-2</v>
      </c>
      <c r="I16" s="6" t="s">
        <v>446</v>
      </c>
      <c r="J16" s="20" t="s">
        <v>447</v>
      </c>
      <c r="K16" s="17">
        <f>VLOOKUP(I16,PL!$A:$S,4,FALSE)</f>
        <v>684066</v>
      </c>
      <c r="L16" s="17">
        <f>VLOOKUP(I16,PL!$A:$S,18,FALSE)</f>
        <v>2251729.16</v>
      </c>
      <c r="M16" s="18">
        <f t="shared" si="2"/>
        <v>1567663.1600000001</v>
      </c>
      <c r="N16" s="19">
        <f t="shared" si="3"/>
        <v>2.2916840772673983</v>
      </c>
    </row>
    <row r="17" spans="2:17" x14ac:dyDescent="0.4">
      <c r="B17" s="6" t="s">
        <v>46</v>
      </c>
      <c r="C17" s="20" t="s">
        <v>47</v>
      </c>
      <c r="D17" s="17">
        <f>VLOOKUP(B17,BS!$A:$S,5,FALSE)</f>
        <v>0</v>
      </c>
      <c r="E17" s="17">
        <f>VLOOKUP(B17,BS!$A:$S,18,FALSE)</f>
        <v>0</v>
      </c>
      <c r="F17" s="18">
        <f t="shared" si="0"/>
        <v>0</v>
      </c>
      <c r="G17" s="19">
        <f t="shared" si="1"/>
        <v>0</v>
      </c>
      <c r="I17" s="6" t="s">
        <v>448</v>
      </c>
      <c r="J17" s="20" t="s">
        <v>449</v>
      </c>
      <c r="K17" s="17">
        <f>VLOOKUP(I17,PL!$A:$S,4,FALSE)</f>
        <v>0</v>
      </c>
      <c r="L17" s="17">
        <f>VLOOKUP(I17,PL!$A:$S,18,FALSE)</f>
        <v>0</v>
      </c>
      <c r="M17" s="18">
        <f t="shared" si="2"/>
        <v>0</v>
      </c>
      <c r="N17" s="19">
        <f t="shared" si="3"/>
        <v>0</v>
      </c>
      <c r="P17" s="46" t="s">
        <v>734</v>
      </c>
      <c r="Q17" s="47"/>
    </row>
    <row r="18" spans="2:17" x14ac:dyDescent="0.4">
      <c r="B18" s="6" t="s">
        <v>48</v>
      </c>
      <c r="C18" s="20" t="s">
        <v>49</v>
      </c>
      <c r="D18" s="17">
        <f>VLOOKUP(B18,BS!$A:$S,5,FALSE)</f>
        <v>0</v>
      </c>
      <c r="E18" s="17">
        <f>VLOOKUP(B18,BS!$A:$S,18,FALSE)</f>
        <v>0</v>
      </c>
      <c r="F18" s="18">
        <f t="shared" si="0"/>
        <v>0</v>
      </c>
      <c r="G18" s="19">
        <f t="shared" si="1"/>
        <v>0</v>
      </c>
      <c r="I18" s="6" t="s">
        <v>450</v>
      </c>
      <c r="J18" s="20" t="s">
        <v>451</v>
      </c>
      <c r="K18" s="17">
        <f>VLOOKUP(I18,PL!$A:$S,4,FALSE)</f>
        <v>0</v>
      </c>
      <c r="L18" s="17">
        <f>VLOOKUP(I18,PL!$A:$S,18,FALSE)</f>
        <v>0</v>
      </c>
      <c r="M18" s="18">
        <f t="shared" si="2"/>
        <v>0</v>
      </c>
      <c r="N18" s="19">
        <f t="shared" si="3"/>
        <v>0</v>
      </c>
      <c r="P18" s="26" t="s">
        <v>731</v>
      </c>
      <c r="Q18" s="26" t="s">
        <v>732</v>
      </c>
    </row>
    <row r="19" spans="2:17" x14ac:dyDescent="0.4">
      <c r="B19" s="6" t="s">
        <v>50</v>
      </c>
      <c r="C19" s="20" t="s">
        <v>51</v>
      </c>
      <c r="D19" s="17">
        <f>VLOOKUP(B19,BS!$A:$S,5,FALSE)</f>
        <v>0</v>
      </c>
      <c r="E19" s="17">
        <f>VLOOKUP(B19,BS!$A:$S,18,FALSE)</f>
        <v>0</v>
      </c>
      <c r="F19" s="18">
        <f t="shared" si="0"/>
        <v>0</v>
      </c>
      <c r="G19" s="19">
        <f t="shared" si="1"/>
        <v>0</v>
      </c>
      <c r="I19" s="6" t="s">
        <v>737</v>
      </c>
      <c r="J19" s="20" t="s">
        <v>738</v>
      </c>
      <c r="K19" s="17">
        <f>VLOOKUP(I19,PL!$A:$S,4,FALSE)</f>
        <v>0</v>
      </c>
      <c r="L19" s="17">
        <f>VLOOKUP(I19,PL!$A:$S,18,FALSE)</f>
        <v>0</v>
      </c>
      <c r="M19" s="18">
        <f t="shared" ref="M19" si="4">L19-K19</f>
        <v>0</v>
      </c>
      <c r="N19" s="19">
        <f t="shared" ref="N19" si="5">IFERROR(M19/K19,0)</f>
        <v>0</v>
      </c>
      <c r="P19" s="35">
        <f>K76</f>
        <v>-146750359.09</v>
      </c>
      <c r="Q19" s="35">
        <f>L76</f>
        <v>-278541977.05000001</v>
      </c>
    </row>
    <row r="20" spans="2:17" x14ac:dyDescent="0.4">
      <c r="B20" s="6" t="s">
        <v>52</v>
      </c>
      <c r="C20" s="20" t="s">
        <v>53</v>
      </c>
      <c r="D20" s="17">
        <f>VLOOKUP(B20,BS!$A:$S,5,FALSE)</f>
        <v>0</v>
      </c>
      <c r="E20" s="17">
        <f>VLOOKUP(B20,BS!$A:$S,18,FALSE)</f>
        <v>0</v>
      </c>
      <c r="F20" s="18">
        <f t="shared" si="0"/>
        <v>0</v>
      </c>
      <c r="G20" s="19">
        <f t="shared" si="1"/>
        <v>0</v>
      </c>
      <c r="I20" s="6" t="s">
        <v>452</v>
      </c>
      <c r="J20" s="20" t="s">
        <v>453</v>
      </c>
      <c r="K20" s="17">
        <f>VLOOKUP(I20,PL!$A:$S,4,FALSE)</f>
        <v>0</v>
      </c>
      <c r="L20" s="17">
        <f>VLOOKUP(I20,PL!$A:$S,18,FALSE)</f>
        <v>0</v>
      </c>
      <c r="M20" s="18">
        <f t="shared" si="2"/>
        <v>0</v>
      </c>
      <c r="N20" s="19">
        <f t="shared" si="3"/>
        <v>0</v>
      </c>
    </row>
    <row r="21" spans="2:17" x14ac:dyDescent="0.4">
      <c r="B21" s="6" t="s">
        <v>54</v>
      </c>
      <c r="C21" s="20" t="s">
        <v>55</v>
      </c>
      <c r="D21" s="17">
        <f>VLOOKUP(B21,BS!$A:$S,5,FALSE)</f>
        <v>0</v>
      </c>
      <c r="E21" s="17">
        <f>VLOOKUP(B21,BS!$A:$S,18,FALSE)</f>
        <v>0</v>
      </c>
      <c r="F21" s="18">
        <f t="shared" si="0"/>
        <v>0</v>
      </c>
      <c r="G21" s="19">
        <f t="shared" si="1"/>
        <v>0</v>
      </c>
      <c r="I21" s="15" t="s">
        <v>454</v>
      </c>
      <c r="J21" s="16" t="s">
        <v>455</v>
      </c>
      <c r="K21" s="17">
        <f>VLOOKUP(I21,PL!$A:$S,4,FALSE)</f>
        <v>1040269242.77</v>
      </c>
      <c r="L21" s="17">
        <f>VLOOKUP(I21,PL!$A:$S,18,FALSE)</f>
        <v>401201938.97000003</v>
      </c>
      <c r="M21" s="18">
        <f t="shared" si="2"/>
        <v>-639067303.79999995</v>
      </c>
      <c r="N21" s="19">
        <f t="shared" si="3"/>
        <v>-0.61432875021692401</v>
      </c>
      <c r="P21" s="46" t="s">
        <v>717</v>
      </c>
      <c r="Q21" s="47"/>
    </row>
    <row r="22" spans="2:17" x14ac:dyDescent="0.4">
      <c r="B22" s="6" t="s">
        <v>56</v>
      </c>
      <c r="C22" s="20" t="s">
        <v>57</v>
      </c>
      <c r="D22" s="17">
        <f>VLOOKUP(B22,BS!$A:$S,5,FALSE)</f>
        <v>0</v>
      </c>
      <c r="E22" s="17">
        <f>VLOOKUP(B22,BS!$A:$S,18,FALSE)</f>
        <v>0</v>
      </c>
      <c r="F22" s="18">
        <f t="shared" si="0"/>
        <v>0</v>
      </c>
      <c r="G22" s="19">
        <f t="shared" si="1"/>
        <v>0</v>
      </c>
      <c r="I22" s="15" t="s">
        <v>456</v>
      </c>
      <c r="J22" s="16" t="s">
        <v>457</v>
      </c>
      <c r="K22" s="17">
        <f>VLOOKUP(I22,PL!$A:$S,4,FALSE)</f>
        <v>1016323935.8099999</v>
      </c>
      <c r="L22" s="17">
        <f>VLOOKUP(I22,PL!$A:$S,18,FALSE)</f>
        <v>400996680.05000001</v>
      </c>
      <c r="M22" s="18">
        <f t="shared" si="2"/>
        <v>-615327255.75999999</v>
      </c>
      <c r="N22" s="19">
        <f t="shared" si="3"/>
        <v>-0.60544402633751837</v>
      </c>
      <c r="P22" s="26" t="s">
        <v>731</v>
      </c>
      <c r="Q22" s="26" t="s">
        <v>732</v>
      </c>
    </row>
    <row r="23" spans="2:17" x14ac:dyDescent="0.4">
      <c r="B23" s="6" t="s">
        <v>58</v>
      </c>
      <c r="C23" s="20" t="s">
        <v>59</v>
      </c>
      <c r="D23" s="17">
        <f>VLOOKUP(B23,BS!$A:$S,5,FALSE)</f>
        <v>265728065.91999999</v>
      </c>
      <c r="E23" s="17">
        <f>VLOOKUP(B23,BS!$A:$S,18,FALSE)</f>
        <v>297143449.79000002</v>
      </c>
      <c r="F23" s="18">
        <f t="shared" si="0"/>
        <v>31415383.870000035</v>
      </c>
      <c r="G23" s="19">
        <f t="shared" si="1"/>
        <v>0.11822380809205882</v>
      </c>
      <c r="I23" s="6" t="s">
        <v>458</v>
      </c>
      <c r="J23" s="20" t="s">
        <v>459</v>
      </c>
      <c r="K23" s="17">
        <f>VLOOKUP(I23,PL!$A:$S,4,FALSE)</f>
        <v>105317592.69</v>
      </c>
      <c r="L23" s="17">
        <f>VLOOKUP(I23,PL!$A:$S,18,FALSE)</f>
        <v>50055078.920000002</v>
      </c>
      <c r="M23" s="18">
        <f t="shared" si="2"/>
        <v>-55262513.769999996</v>
      </c>
      <c r="N23" s="19">
        <f t="shared" si="3"/>
        <v>-0.52472253076144626</v>
      </c>
      <c r="P23" s="27">
        <f>K39/K4</f>
        <v>0.37588129895623129</v>
      </c>
      <c r="Q23" s="27">
        <f>L39/L4</f>
        <v>0.77331906421799834</v>
      </c>
    </row>
    <row r="24" spans="2:17" x14ac:dyDescent="0.4">
      <c r="B24" s="6" t="s">
        <v>60</v>
      </c>
      <c r="C24" s="20" t="s">
        <v>61</v>
      </c>
      <c r="D24" s="17">
        <f>VLOOKUP(B24,BS!$A:$S,5,FALSE)</f>
        <v>0</v>
      </c>
      <c r="E24" s="17">
        <f>VLOOKUP(B24,BS!$A:$S,18,FALSE)</f>
        <v>0</v>
      </c>
      <c r="F24" s="18">
        <f t="shared" si="0"/>
        <v>0</v>
      </c>
      <c r="G24" s="19">
        <f t="shared" si="1"/>
        <v>0</v>
      </c>
      <c r="I24" s="6" t="s">
        <v>460</v>
      </c>
      <c r="J24" s="20" t="s">
        <v>461</v>
      </c>
      <c r="K24" s="17">
        <f>VLOOKUP(I24,PL!$A:$S,4,FALSE)</f>
        <v>866267304.67999995</v>
      </c>
      <c r="L24" s="17">
        <f>VLOOKUP(I24,PL!$A:$S,18,FALSE)</f>
        <v>326397946.83999997</v>
      </c>
      <c r="M24" s="18">
        <f t="shared" si="2"/>
        <v>-539869357.83999991</v>
      </c>
      <c r="N24" s="19">
        <f t="shared" si="3"/>
        <v>-0.62321336026808516</v>
      </c>
    </row>
    <row r="25" spans="2:17" x14ac:dyDescent="0.4">
      <c r="B25" s="6" t="s">
        <v>62</v>
      </c>
      <c r="C25" s="20" t="s">
        <v>63</v>
      </c>
      <c r="D25" s="17">
        <f>VLOOKUP(B25,BS!$A:$S,5,FALSE)</f>
        <v>3856421.5</v>
      </c>
      <c r="E25" s="17">
        <f>VLOOKUP(B25,BS!$A:$S,18,FALSE)</f>
        <v>2417848.4700000002</v>
      </c>
      <c r="F25" s="18">
        <f t="shared" si="0"/>
        <v>-1438573.0299999998</v>
      </c>
      <c r="G25" s="19">
        <f t="shared" si="1"/>
        <v>-0.37303314225377071</v>
      </c>
      <c r="I25" s="6" t="s">
        <v>462</v>
      </c>
      <c r="J25" s="20" t="s">
        <v>463</v>
      </c>
      <c r="K25" s="17">
        <f>VLOOKUP(I25,PL!$A:$S,4,FALSE)</f>
        <v>28582593</v>
      </c>
      <c r="L25" s="17">
        <f>VLOOKUP(I25,PL!$A:$S,18,FALSE)</f>
        <v>17741112.120000001</v>
      </c>
      <c r="M25" s="18">
        <f t="shared" si="2"/>
        <v>-10841480.879999999</v>
      </c>
      <c r="N25" s="19">
        <f t="shared" si="3"/>
        <v>-0.37930361601552381</v>
      </c>
      <c r="P25" s="9" t="s">
        <v>733</v>
      </c>
    </row>
    <row r="26" spans="2:17" x14ac:dyDescent="0.4">
      <c r="B26" s="6" t="s">
        <v>64</v>
      </c>
      <c r="C26" s="20" t="s">
        <v>65</v>
      </c>
      <c r="D26" s="17">
        <f>VLOOKUP(B26,BS!$A:$S,5,FALSE)</f>
        <v>9686552.9499999993</v>
      </c>
      <c r="E26" s="17">
        <f>VLOOKUP(B26,BS!$A:$S,18,FALSE)</f>
        <v>9686552.9499999993</v>
      </c>
      <c r="F26" s="18">
        <f t="shared" si="0"/>
        <v>0</v>
      </c>
      <c r="G26" s="19">
        <f t="shared" si="1"/>
        <v>0</v>
      </c>
      <c r="I26" s="6" t="s">
        <v>464</v>
      </c>
      <c r="J26" s="20" t="s">
        <v>465</v>
      </c>
      <c r="K26" s="17">
        <f>VLOOKUP(I26,PL!$A:$S,4,FALSE)</f>
        <v>16156445.439999999</v>
      </c>
      <c r="L26" s="17">
        <f>VLOOKUP(I26,PL!$A:$S,18,FALSE)</f>
        <v>6802542.1699999999</v>
      </c>
      <c r="M26" s="18">
        <f t="shared" si="2"/>
        <v>-9353903.2699999996</v>
      </c>
      <c r="N26" s="19">
        <f t="shared" si="3"/>
        <v>-0.57895799572606976</v>
      </c>
      <c r="P26" s="28" t="s">
        <v>719</v>
      </c>
      <c r="Q26" s="29">
        <f>N4</f>
        <v>-0.62203525780315272</v>
      </c>
    </row>
    <row r="27" spans="2:17" x14ac:dyDescent="0.4">
      <c r="B27" s="6" t="s">
        <v>66</v>
      </c>
      <c r="C27" s="20" t="s">
        <v>67</v>
      </c>
      <c r="D27" s="17">
        <f>VLOOKUP(B27,BS!$A:$S,5,FALSE)</f>
        <v>0</v>
      </c>
      <c r="E27" s="17">
        <f>VLOOKUP(B27,BS!$A:$S,18,FALSE)</f>
        <v>8981374.1400000006</v>
      </c>
      <c r="F27" s="18">
        <f t="shared" si="0"/>
        <v>8981374.1400000006</v>
      </c>
      <c r="G27" s="19">
        <f t="shared" si="1"/>
        <v>0</v>
      </c>
      <c r="I27" s="6" t="s">
        <v>466</v>
      </c>
      <c r="J27" s="20" t="s">
        <v>467</v>
      </c>
      <c r="K27" s="17">
        <f>VLOOKUP(I27,PL!$A:$S,4,FALSE)</f>
        <v>0</v>
      </c>
      <c r="L27" s="17">
        <f>VLOOKUP(I27,PL!$A:$S,18,FALSE)</f>
        <v>0</v>
      </c>
      <c r="M27" s="18">
        <f t="shared" si="2"/>
        <v>0</v>
      </c>
      <c r="N27" s="19">
        <f t="shared" si="3"/>
        <v>0</v>
      </c>
      <c r="P27" s="28" t="s">
        <v>720</v>
      </c>
      <c r="Q27" s="29">
        <f>N21</f>
        <v>-0.61432875021692401</v>
      </c>
    </row>
    <row r="28" spans="2:17" x14ac:dyDescent="0.4">
      <c r="B28" s="6" t="s">
        <v>68</v>
      </c>
      <c r="C28" s="20" t="s">
        <v>69</v>
      </c>
      <c r="D28" s="17">
        <f>VLOOKUP(B28,BS!$A:$S,5,FALSE)</f>
        <v>0</v>
      </c>
      <c r="E28" s="17">
        <f>VLOOKUP(B28,BS!$A:$S,18,FALSE)</f>
        <v>0</v>
      </c>
      <c r="F28" s="18">
        <f t="shared" si="0"/>
        <v>0</v>
      </c>
      <c r="G28" s="19">
        <f t="shared" si="1"/>
        <v>0</v>
      </c>
      <c r="I28" s="6" t="s">
        <v>468</v>
      </c>
      <c r="J28" s="20" t="s">
        <v>469</v>
      </c>
      <c r="K28" s="17">
        <f>VLOOKUP(I28,PL!$A:$S,4,FALSE)</f>
        <v>0</v>
      </c>
      <c r="L28" s="17">
        <f>VLOOKUP(I28,PL!$A:$S,18,FALSE)</f>
        <v>0</v>
      </c>
      <c r="M28" s="18">
        <f t="shared" si="2"/>
        <v>0</v>
      </c>
      <c r="N28" s="19">
        <f t="shared" si="3"/>
        <v>0</v>
      </c>
      <c r="P28" s="28" t="s">
        <v>721</v>
      </c>
      <c r="Q28" s="29">
        <f>N39</f>
        <v>-0.2223945656389314</v>
      </c>
    </row>
    <row r="29" spans="2:17" x14ac:dyDescent="0.4">
      <c r="B29" s="6" t="s">
        <v>70</v>
      </c>
      <c r="C29" s="20" t="s">
        <v>71</v>
      </c>
      <c r="D29" s="17">
        <f>VLOOKUP(B29,BS!$A:$S,5,FALSE)</f>
        <v>24796957</v>
      </c>
      <c r="E29" s="17">
        <f>VLOOKUP(B29,BS!$A:$S,18,FALSE)</f>
        <v>13592487</v>
      </c>
      <c r="F29" s="18">
        <f t="shared" si="0"/>
        <v>-11204470</v>
      </c>
      <c r="G29" s="19">
        <f t="shared" si="1"/>
        <v>-0.45184858771179059</v>
      </c>
      <c r="I29" s="6" t="s">
        <v>470</v>
      </c>
      <c r="J29" s="20" t="s">
        <v>471</v>
      </c>
      <c r="K29" s="17">
        <f>VLOOKUP(I29,PL!$A:$S,4,FALSE)</f>
        <v>0</v>
      </c>
      <c r="L29" s="17">
        <f>VLOOKUP(I29,PL!$A:$S,18,FALSE)</f>
        <v>0</v>
      </c>
      <c r="M29" s="18">
        <f t="shared" si="2"/>
        <v>0</v>
      </c>
      <c r="N29" s="19">
        <f t="shared" si="3"/>
        <v>0</v>
      </c>
    </row>
    <row r="30" spans="2:17" x14ac:dyDescent="0.4">
      <c r="B30" s="6" t="s">
        <v>72</v>
      </c>
      <c r="C30" s="20" t="s">
        <v>73</v>
      </c>
      <c r="D30" s="17">
        <f>VLOOKUP(B30,BS!$A:$S,5,FALSE)</f>
        <v>12092560</v>
      </c>
      <c r="E30" s="17">
        <f>VLOOKUP(B30,BS!$A:$S,18,FALSE)</f>
        <v>1756752</v>
      </c>
      <c r="F30" s="18">
        <f t="shared" si="0"/>
        <v>-10335808</v>
      </c>
      <c r="G30" s="19">
        <f t="shared" si="1"/>
        <v>-0.85472455790998758</v>
      </c>
      <c r="I30" s="6" t="s">
        <v>472</v>
      </c>
      <c r="J30" s="20" t="s">
        <v>473</v>
      </c>
      <c r="K30" s="17">
        <f>VLOOKUP(I30,PL!$A:$S,4,FALSE)</f>
        <v>0</v>
      </c>
      <c r="L30" s="17">
        <f>VLOOKUP(I30,PL!$A:$S,18,FALSE)</f>
        <v>0</v>
      </c>
      <c r="M30" s="18">
        <f t="shared" si="2"/>
        <v>0</v>
      </c>
      <c r="N30" s="19">
        <f t="shared" si="3"/>
        <v>0</v>
      </c>
    </row>
    <row r="31" spans="2:17" x14ac:dyDescent="0.4">
      <c r="B31" s="6" t="s">
        <v>74</v>
      </c>
      <c r="C31" s="20" t="s">
        <v>75</v>
      </c>
      <c r="D31" s="17">
        <f>VLOOKUP(B31,BS!$A:$S,5,FALSE)</f>
        <v>0</v>
      </c>
      <c r="E31" s="17">
        <f>VLOOKUP(B31,BS!$A:$S,18,FALSE)</f>
        <v>0</v>
      </c>
      <c r="F31" s="18">
        <f t="shared" si="0"/>
        <v>0</v>
      </c>
      <c r="G31" s="19">
        <f t="shared" si="1"/>
        <v>0</v>
      </c>
      <c r="I31" s="6" t="s">
        <v>474</v>
      </c>
      <c r="J31" s="20" t="s">
        <v>475</v>
      </c>
      <c r="K31" s="17">
        <f>VLOOKUP(I31,PL!$A:$S,4,FALSE)</f>
        <v>0</v>
      </c>
      <c r="L31" s="17">
        <f>VLOOKUP(I31,PL!$A:$S,18,FALSE)</f>
        <v>0</v>
      </c>
      <c r="M31" s="18">
        <f t="shared" si="2"/>
        <v>0</v>
      </c>
      <c r="N31" s="19">
        <f t="shared" si="3"/>
        <v>0</v>
      </c>
    </row>
    <row r="32" spans="2:17" x14ac:dyDescent="0.4">
      <c r="B32" s="6" t="s">
        <v>76</v>
      </c>
      <c r="C32" s="20" t="s">
        <v>77</v>
      </c>
      <c r="D32" s="17">
        <f>VLOOKUP(B32,BS!$A:$S,5,FALSE)</f>
        <v>0</v>
      </c>
      <c r="E32" s="17">
        <f>VLOOKUP(B32,BS!$A:$S,18,FALSE)</f>
        <v>0</v>
      </c>
      <c r="F32" s="18">
        <f t="shared" si="0"/>
        <v>0</v>
      </c>
      <c r="G32" s="19">
        <f t="shared" si="1"/>
        <v>0</v>
      </c>
      <c r="I32" s="6" t="s">
        <v>476</v>
      </c>
      <c r="J32" s="20" t="s">
        <v>477</v>
      </c>
      <c r="K32" s="17">
        <f>VLOOKUP(I32,PL!$A:$S,4,FALSE)</f>
        <v>0</v>
      </c>
      <c r="L32" s="17">
        <f>VLOOKUP(I32,PL!$A:$S,18,FALSE)</f>
        <v>0</v>
      </c>
      <c r="M32" s="18">
        <f t="shared" si="2"/>
        <v>0</v>
      </c>
      <c r="N32" s="19">
        <f t="shared" si="3"/>
        <v>0</v>
      </c>
    </row>
    <row r="33" spans="2:15" x14ac:dyDescent="0.4">
      <c r="B33" s="15" t="s">
        <v>78</v>
      </c>
      <c r="C33" s="16" t="s">
        <v>79</v>
      </c>
      <c r="D33" s="17">
        <f>VLOOKUP(B33,BS!$A:$S,5,FALSE)</f>
        <v>1136498656.5899999</v>
      </c>
      <c r="E33" s="17">
        <f>VLOOKUP(B33,BS!$A:$S,18,FALSE)</f>
        <v>1109257665.01</v>
      </c>
      <c r="F33" s="18">
        <f t="shared" si="0"/>
        <v>-27240991.579999924</v>
      </c>
      <c r="G33" s="19">
        <f t="shared" si="1"/>
        <v>-2.396922461988207E-2</v>
      </c>
      <c r="I33" s="6" t="s">
        <v>478</v>
      </c>
      <c r="J33" s="20" t="s">
        <v>479</v>
      </c>
      <c r="K33" s="17">
        <f>VLOOKUP(I33,PL!$A:$S,4,FALSE)</f>
        <v>23826118.920000002</v>
      </c>
      <c r="L33" s="17">
        <f>VLOOKUP(I33,PL!$A:$S,18,FALSE)</f>
        <v>205258.92</v>
      </c>
      <c r="M33" s="18">
        <f t="shared" si="2"/>
        <v>-23620860</v>
      </c>
      <c r="N33" s="19">
        <f t="shared" si="3"/>
        <v>-0.99138512987829908</v>
      </c>
    </row>
    <row r="34" spans="2:15" x14ac:dyDescent="0.4">
      <c r="B34" s="15" t="s">
        <v>80</v>
      </c>
      <c r="C34" s="16" t="s">
        <v>81</v>
      </c>
      <c r="D34" s="17">
        <f>VLOOKUP(B34,BS!$A:$S,5,FALSE)</f>
        <v>1442021798.21</v>
      </c>
      <c r="E34" s="17">
        <f>VLOOKUP(B34,BS!$A:$S,18,FALSE)</f>
        <v>1434789652.8099999</v>
      </c>
      <c r="F34" s="18">
        <f t="shared" si="0"/>
        <v>-7232145.4000000954</v>
      </c>
      <c r="G34" s="19">
        <f t="shared" si="1"/>
        <v>-5.0152816059905953E-3</v>
      </c>
      <c r="I34" s="6" t="s">
        <v>480</v>
      </c>
      <c r="J34" s="20" t="s">
        <v>481</v>
      </c>
      <c r="K34" s="17">
        <f>VLOOKUP(I34,PL!$A:$S,4,FALSE)</f>
        <v>119188.04</v>
      </c>
      <c r="L34" s="17">
        <f>VLOOKUP(I34,PL!$A:$S,18,FALSE)</f>
        <v>0</v>
      </c>
      <c r="M34" s="18">
        <f t="shared" si="2"/>
        <v>-119188.04</v>
      </c>
      <c r="N34" s="19">
        <f t="shared" si="3"/>
        <v>-1</v>
      </c>
    </row>
    <row r="35" spans="2:15" x14ac:dyDescent="0.4">
      <c r="B35" s="6" t="s">
        <v>82</v>
      </c>
      <c r="C35" s="20" t="s">
        <v>83</v>
      </c>
      <c r="D35" s="17">
        <f>VLOOKUP(B35,BS!$A:$S,5,FALSE)</f>
        <v>262354181.97999999</v>
      </c>
      <c r="E35" s="17">
        <f>VLOOKUP(B35,BS!$A:$S,18,FALSE)</f>
        <v>264295561.97</v>
      </c>
      <c r="F35" s="18">
        <f t="shared" si="0"/>
        <v>1941379.9900000095</v>
      </c>
      <c r="G35" s="19">
        <f t="shared" si="1"/>
        <v>7.3998438879392687E-3</v>
      </c>
      <c r="I35" s="6" t="s">
        <v>482</v>
      </c>
      <c r="J35" s="20" t="s">
        <v>483</v>
      </c>
      <c r="K35" s="17">
        <f>VLOOKUP(I35,PL!$A:$S,4,FALSE)</f>
        <v>0</v>
      </c>
      <c r="L35" s="17">
        <f>VLOOKUP(I35,PL!$A:$S,18,FALSE)</f>
        <v>0</v>
      </c>
      <c r="M35" s="18">
        <f t="shared" si="2"/>
        <v>0</v>
      </c>
      <c r="N35" s="19">
        <f t="shared" si="3"/>
        <v>0</v>
      </c>
    </row>
    <row r="36" spans="2:15" x14ac:dyDescent="0.4">
      <c r="B36" s="6" t="s">
        <v>84</v>
      </c>
      <c r="C36" s="20" t="s">
        <v>85</v>
      </c>
      <c r="D36" s="17">
        <f>VLOOKUP(B36,BS!$A:$S,5,FALSE)</f>
        <v>1059950389.34</v>
      </c>
      <c r="E36" s="17">
        <f>VLOOKUP(B36,BS!$A:$S,18,FALSE)</f>
        <v>1057519745.49</v>
      </c>
      <c r="F36" s="18">
        <f t="shared" si="0"/>
        <v>-2430643.8500000238</v>
      </c>
      <c r="G36" s="19">
        <f t="shared" si="1"/>
        <v>-2.2931675618455259E-3</v>
      </c>
      <c r="I36" s="6" t="s">
        <v>739</v>
      </c>
      <c r="J36" s="20" t="s">
        <v>740</v>
      </c>
      <c r="K36" s="17">
        <f>VLOOKUP(I36,PL!$A:$S,4,FALSE)</f>
        <v>0</v>
      </c>
      <c r="L36" s="17">
        <f>VLOOKUP(I36,PL!$A:$S,18,FALSE)</f>
        <v>0</v>
      </c>
      <c r="M36" s="18">
        <f t="shared" ref="M36" si="6">L36-K36</f>
        <v>0</v>
      </c>
      <c r="N36" s="19">
        <f t="shared" ref="N36" si="7">IFERROR(M36/K36,0)</f>
        <v>0</v>
      </c>
    </row>
    <row r="37" spans="2:15" x14ac:dyDescent="0.4">
      <c r="B37" s="6" t="s">
        <v>86</v>
      </c>
      <c r="C37" s="20" t="s">
        <v>87</v>
      </c>
      <c r="D37" s="17">
        <f>VLOOKUP(B37,BS!$A:$S,5,FALSE)</f>
        <v>37776413.07</v>
      </c>
      <c r="E37" s="17">
        <f>VLOOKUP(B37,BS!$A:$S,18,FALSE)</f>
        <v>30676980.27</v>
      </c>
      <c r="F37" s="18">
        <f t="shared" si="0"/>
        <v>-7099432.8000000007</v>
      </c>
      <c r="G37" s="19">
        <f t="shared" si="1"/>
        <v>-0.18793295135895233</v>
      </c>
      <c r="I37" s="6" t="s">
        <v>484</v>
      </c>
      <c r="J37" s="20" t="s">
        <v>485</v>
      </c>
      <c r="K37" s="17">
        <f>VLOOKUP(I37,PL!$A:$S,4,FALSE)</f>
        <v>0</v>
      </c>
      <c r="L37" s="17">
        <f>VLOOKUP(I37,PL!$A:$S,18,FALSE)</f>
        <v>0</v>
      </c>
      <c r="M37" s="18">
        <f t="shared" si="2"/>
        <v>0</v>
      </c>
      <c r="N37" s="19">
        <f t="shared" si="3"/>
        <v>0</v>
      </c>
    </row>
    <row r="38" spans="2:15" x14ac:dyDescent="0.4">
      <c r="B38" s="6" t="s">
        <v>88</v>
      </c>
      <c r="C38" s="20" t="s">
        <v>89</v>
      </c>
      <c r="D38" s="17">
        <f>VLOOKUP(B38,BS!$A:$S,5,FALSE)</f>
        <v>81940813.819999993</v>
      </c>
      <c r="E38" s="17">
        <f>VLOOKUP(B38,BS!$A:$S,18,FALSE)</f>
        <v>82297365.079999998</v>
      </c>
      <c r="F38" s="18">
        <f t="shared" si="0"/>
        <v>356551.26000000536</v>
      </c>
      <c r="G38" s="19">
        <f t="shared" si="1"/>
        <v>4.3513268099001825E-3</v>
      </c>
      <c r="I38" s="15" t="s">
        <v>486</v>
      </c>
      <c r="J38" s="16" t="s">
        <v>487</v>
      </c>
      <c r="K38" s="17">
        <f>VLOOKUP(I38,PL!$A:$S,4,FALSE)</f>
        <v>391379708.27999997</v>
      </c>
      <c r="L38" s="17">
        <f>VLOOKUP(I38,PL!$A:$S,18,FALSE)</f>
        <v>139910887.72999999</v>
      </c>
      <c r="M38" s="18">
        <f t="shared" ref="M38:M70" si="8">L38-K38</f>
        <v>-251468820.54999998</v>
      </c>
      <c r="N38" s="19">
        <f t="shared" ref="N38:N70" si="9">IFERROR(M38/K38,0)</f>
        <v>-0.64251880010625062</v>
      </c>
    </row>
    <row r="39" spans="2:15" x14ac:dyDescent="0.4">
      <c r="B39" s="6" t="s">
        <v>90</v>
      </c>
      <c r="C39" s="20" t="s">
        <v>91</v>
      </c>
      <c r="D39" s="17">
        <f>VLOOKUP(B39,BS!$A:$S,5,FALSE)</f>
        <v>0</v>
      </c>
      <c r="E39" s="17">
        <f>VLOOKUP(B39,BS!$A:$S,18,FALSE)</f>
        <v>0</v>
      </c>
      <c r="F39" s="18">
        <f t="shared" si="0"/>
        <v>0</v>
      </c>
      <c r="G39" s="19">
        <f t="shared" si="1"/>
        <v>0</v>
      </c>
      <c r="I39" s="15" t="s">
        <v>488</v>
      </c>
      <c r="J39" s="16" t="s">
        <v>489</v>
      </c>
      <c r="K39" s="17">
        <f>VLOOKUP(I39,PL!$A:$S,4,FALSE)</f>
        <v>538130067.37</v>
      </c>
      <c r="L39" s="17">
        <f>VLOOKUP(I39,PL!$A:$S,18,FALSE)</f>
        <v>418452864.77999997</v>
      </c>
      <c r="M39" s="18">
        <f t="shared" si="8"/>
        <v>-119677202.59000003</v>
      </c>
      <c r="N39" s="19">
        <f t="shared" si="9"/>
        <v>-0.2223945656389314</v>
      </c>
    </row>
    <row r="40" spans="2:15" x14ac:dyDescent="0.4">
      <c r="B40" s="6" t="s">
        <v>92</v>
      </c>
      <c r="C40" s="20" t="s">
        <v>93</v>
      </c>
      <c r="D40" s="17">
        <f>VLOOKUP(B40,BS!$A:$S,5,FALSE)</f>
        <v>-312934187.69</v>
      </c>
      <c r="E40" s="17">
        <f>VLOOKUP(B40,BS!$A:$S,18,FALSE)</f>
        <v>-333719231.27999997</v>
      </c>
      <c r="F40" s="18">
        <f t="shared" si="0"/>
        <v>-20785043.589999974</v>
      </c>
      <c r="G40" s="19">
        <f t="shared" si="1"/>
        <v>6.6419855700106917E-2</v>
      </c>
      <c r="I40" s="6" t="s">
        <v>490</v>
      </c>
      <c r="J40" s="20" t="s">
        <v>491</v>
      </c>
      <c r="K40" s="17">
        <f>VLOOKUP(I40,PL!$A:$S,4,FALSE)</f>
        <v>259668458.19</v>
      </c>
      <c r="L40" s="17">
        <f>VLOOKUP(I40,PL!$A:$S,18,FALSE)</f>
        <v>192429238.69</v>
      </c>
      <c r="M40" s="18">
        <f t="shared" si="8"/>
        <v>-67239219.5</v>
      </c>
      <c r="N40" s="19">
        <f t="shared" si="9"/>
        <v>-0.25894257611681476</v>
      </c>
    </row>
    <row r="41" spans="2:15" x14ac:dyDescent="0.4">
      <c r="B41" s="6" t="s">
        <v>94</v>
      </c>
      <c r="C41" s="20" t="s">
        <v>95</v>
      </c>
      <c r="D41" s="17">
        <f>VLOOKUP(B41,BS!$A:$S,5,FALSE)</f>
        <v>0</v>
      </c>
      <c r="E41" s="17">
        <f>VLOOKUP(B41,BS!$A:$S,18,FALSE)</f>
        <v>0</v>
      </c>
      <c r="F41" s="18">
        <f t="shared" si="0"/>
        <v>0</v>
      </c>
      <c r="G41" s="19">
        <f t="shared" si="1"/>
        <v>0</v>
      </c>
      <c r="I41" s="6" t="s">
        <v>492</v>
      </c>
      <c r="J41" s="20" t="s">
        <v>493</v>
      </c>
      <c r="K41" s="17">
        <f>VLOOKUP(I41,PL!$A:$S,4,FALSE)</f>
        <v>0</v>
      </c>
      <c r="L41" s="17">
        <f>VLOOKUP(I41,PL!$A:$S,18,FALSE)</f>
        <v>25967965</v>
      </c>
      <c r="M41" s="18">
        <f t="shared" si="8"/>
        <v>25967965</v>
      </c>
      <c r="N41" s="19">
        <f t="shared" si="9"/>
        <v>0</v>
      </c>
    </row>
    <row r="42" spans="2:15" x14ac:dyDescent="0.4">
      <c r="B42" s="6" t="s">
        <v>96</v>
      </c>
      <c r="C42" s="20" t="s">
        <v>97</v>
      </c>
      <c r="D42" s="17">
        <f>VLOOKUP(B42,BS!$A:$S,5,FALSE)</f>
        <v>0</v>
      </c>
      <c r="E42" s="17">
        <f>VLOOKUP(B42,BS!$A:$S,18,FALSE)</f>
        <v>0</v>
      </c>
      <c r="F42" s="18">
        <f t="shared" si="0"/>
        <v>0</v>
      </c>
      <c r="G42" s="19">
        <f t="shared" si="1"/>
        <v>0</v>
      </c>
      <c r="I42" s="6" t="s">
        <v>494</v>
      </c>
      <c r="J42" s="20" t="s">
        <v>495</v>
      </c>
      <c r="K42" s="17">
        <f>VLOOKUP(I42,PL!$A:$S,4,FALSE)</f>
        <v>0</v>
      </c>
      <c r="L42" s="17">
        <f>VLOOKUP(I42,PL!$A:$S,18,FALSE)</f>
        <v>0</v>
      </c>
      <c r="M42" s="18">
        <f t="shared" si="8"/>
        <v>0</v>
      </c>
      <c r="N42" s="19">
        <f t="shared" si="9"/>
        <v>0</v>
      </c>
    </row>
    <row r="43" spans="2:15" x14ac:dyDescent="0.4">
      <c r="B43" s="6" t="s">
        <v>98</v>
      </c>
      <c r="C43" s="20" t="s">
        <v>99</v>
      </c>
      <c r="D43" s="17">
        <f>VLOOKUP(B43,BS!$A:$S,5,FALSE)</f>
        <v>0</v>
      </c>
      <c r="E43" s="17">
        <f>VLOOKUP(B43,BS!$A:$S,18,FALSE)</f>
        <v>0</v>
      </c>
      <c r="F43" s="18">
        <f t="shared" si="0"/>
        <v>0</v>
      </c>
      <c r="G43" s="19">
        <f t="shared" si="1"/>
        <v>0</v>
      </c>
      <c r="I43" s="6" t="s">
        <v>741</v>
      </c>
      <c r="J43" s="20" t="s">
        <v>742</v>
      </c>
      <c r="K43" s="17">
        <f>VLOOKUP(I43,PL!$A:$S,4,FALSE)</f>
        <v>0</v>
      </c>
      <c r="L43" s="17">
        <f>VLOOKUP(I43,PL!$A:$S,18,FALSE)</f>
        <v>0</v>
      </c>
      <c r="M43" s="18">
        <f t="shared" ref="M43" si="10">L43-K43</f>
        <v>0</v>
      </c>
      <c r="N43" s="19">
        <f t="shared" ref="N43" si="11">IFERROR(M43/K43,0)</f>
        <v>0</v>
      </c>
    </row>
    <row r="44" spans="2:15" x14ac:dyDescent="0.4">
      <c r="B44" s="6" t="s">
        <v>100</v>
      </c>
      <c r="C44" s="20" t="s">
        <v>101</v>
      </c>
      <c r="D44" s="17">
        <f>VLOOKUP(B44,BS!$A:$S,5,FALSE)</f>
        <v>0</v>
      </c>
      <c r="E44" s="17">
        <f>VLOOKUP(B44,BS!$A:$S,18,FALSE)</f>
        <v>0</v>
      </c>
      <c r="F44" s="18">
        <f t="shared" si="0"/>
        <v>0</v>
      </c>
      <c r="G44" s="19">
        <f t="shared" si="1"/>
        <v>0</v>
      </c>
      <c r="I44" s="6" t="s">
        <v>496</v>
      </c>
      <c r="J44" s="20" t="s">
        <v>497</v>
      </c>
      <c r="K44" s="17">
        <f>VLOOKUP(I44,PL!$A:$S,4,FALSE)</f>
        <v>0</v>
      </c>
      <c r="L44" s="17">
        <f>VLOOKUP(I44,PL!$A:$S,18,FALSE)</f>
        <v>0</v>
      </c>
      <c r="M44" s="18">
        <f t="shared" si="8"/>
        <v>0</v>
      </c>
      <c r="N44" s="19">
        <f t="shared" si="9"/>
        <v>0</v>
      </c>
    </row>
    <row r="45" spans="2:15" x14ac:dyDescent="0.4">
      <c r="B45" s="6" t="s">
        <v>102</v>
      </c>
      <c r="C45" s="20" t="s">
        <v>103</v>
      </c>
      <c r="D45" s="17">
        <f>VLOOKUP(B45,BS!$A:$S,5,FALSE)</f>
        <v>0</v>
      </c>
      <c r="E45" s="17">
        <f>VLOOKUP(B45,BS!$A:$S,18,FALSE)</f>
        <v>0</v>
      </c>
      <c r="F45" s="18">
        <f t="shared" si="0"/>
        <v>0</v>
      </c>
      <c r="G45" s="19">
        <f t="shared" si="1"/>
        <v>0</v>
      </c>
      <c r="I45" s="6" t="s">
        <v>498</v>
      </c>
      <c r="J45" s="20" t="s">
        <v>499</v>
      </c>
      <c r="K45" s="17">
        <f>VLOOKUP(I45,PL!$A:$S,4,FALSE)</f>
        <v>28922567</v>
      </c>
      <c r="L45" s="17">
        <f>VLOOKUP(I45,PL!$A:$S,18,FALSE)</f>
        <v>25466061</v>
      </c>
      <c r="M45" s="18">
        <f t="shared" si="8"/>
        <v>-3456506</v>
      </c>
      <c r="N45" s="19">
        <f t="shared" si="9"/>
        <v>-0.11950896336414399</v>
      </c>
    </row>
    <row r="46" spans="2:15" x14ac:dyDescent="0.4">
      <c r="B46" s="6" t="s">
        <v>104</v>
      </c>
      <c r="C46" s="20" t="s">
        <v>105</v>
      </c>
      <c r="D46" s="17">
        <f>VLOOKUP(B46,BS!$A:$S,5,FALSE)</f>
        <v>0</v>
      </c>
      <c r="E46" s="17">
        <f>VLOOKUP(B46,BS!$A:$S,18,FALSE)</f>
        <v>0</v>
      </c>
      <c r="F46" s="18">
        <f t="shared" si="0"/>
        <v>0</v>
      </c>
      <c r="G46" s="19">
        <f t="shared" si="1"/>
        <v>0</v>
      </c>
      <c r="I46" s="6" t="s">
        <v>500</v>
      </c>
      <c r="J46" s="20" t="s">
        <v>501</v>
      </c>
      <c r="K46" s="17">
        <f>VLOOKUP(I46,PL!$A:$S,4,FALSE)</f>
        <v>0</v>
      </c>
      <c r="L46" s="17">
        <f>VLOOKUP(I46,PL!$A:$S,18,FALSE)</f>
        <v>0</v>
      </c>
      <c r="M46" s="18">
        <f t="shared" si="8"/>
        <v>0</v>
      </c>
      <c r="N46" s="19">
        <f t="shared" si="9"/>
        <v>0</v>
      </c>
      <c r="O46" s="30"/>
    </row>
    <row r="47" spans="2:15" x14ac:dyDescent="0.4">
      <c r="B47" s="6" t="s">
        <v>106</v>
      </c>
      <c r="C47" s="20" t="s">
        <v>107</v>
      </c>
      <c r="D47" s="17">
        <f>VLOOKUP(B47,BS!$A:$S,5,FALSE)</f>
        <v>0</v>
      </c>
      <c r="E47" s="17">
        <f>VLOOKUP(B47,BS!$A:$S,18,FALSE)</f>
        <v>0</v>
      </c>
      <c r="F47" s="18">
        <f t="shared" si="0"/>
        <v>0</v>
      </c>
      <c r="G47" s="19">
        <f t="shared" si="1"/>
        <v>0</v>
      </c>
      <c r="I47" s="6" t="s">
        <v>502</v>
      </c>
      <c r="J47" s="20" t="s">
        <v>503</v>
      </c>
      <c r="K47" s="17">
        <f>VLOOKUP(I47,PL!$A:$S,4,FALSE)</f>
        <v>8044503.2000000002</v>
      </c>
      <c r="L47" s="17">
        <f>VLOOKUP(I47,PL!$A:$S,18,FALSE)</f>
        <v>3974437.35</v>
      </c>
      <c r="M47" s="18">
        <f t="shared" si="8"/>
        <v>-4070065.85</v>
      </c>
      <c r="N47" s="19">
        <f t="shared" si="9"/>
        <v>-0.50594371694699558</v>
      </c>
    </row>
    <row r="48" spans="2:15" x14ac:dyDescent="0.4">
      <c r="B48" s="6" t="s">
        <v>108</v>
      </c>
      <c r="C48" s="20" t="s">
        <v>109</v>
      </c>
      <c r="D48" s="17">
        <f>VLOOKUP(B48,BS!$A:$S,5,FALSE)</f>
        <v>0</v>
      </c>
      <c r="E48" s="17">
        <f>VLOOKUP(B48,BS!$A:$S,18,FALSE)</f>
        <v>0</v>
      </c>
      <c r="F48" s="18">
        <f t="shared" si="0"/>
        <v>0</v>
      </c>
      <c r="G48" s="19">
        <f t="shared" si="1"/>
        <v>0</v>
      </c>
      <c r="I48" s="6" t="s">
        <v>504</v>
      </c>
      <c r="J48" s="20" t="s">
        <v>505</v>
      </c>
      <c r="K48" s="17">
        <f>VLOOKUP(I48,PL!$A:$S,4,FALSE)</f>
        <v>510000</v>
      </c>
      <c r="L48" s="17">
        <f>VLOOKUP(I48,PL!$A:$S,18,FALSE)</f>
        <v>0</v>
      </c>
      <c r="M48" s="18">
        <f t="shared" si="8"/>
        <v>-510000</v>
      </c>
      <c r="N48" s="19">
        <f t="shared" si="9"/>
        <v>-1</v>
      </c>
    </row>
    <row r="49" spans="2:14" x14ac:dyDescent="0.4">
      <c r="B49" s="6" t="s">
        <v>110</v>
      </c>
      <c r="C49" s="20" t="s">
        <v>111</v>
      </c>
      <c r="D49" s="17">
        <f>VLOOKUP(B49,BS!$A:$S,5,FALSE)</f>
        <v>7411046.0700000003</v>
      </c>
      <c r="E49" s="17">
        <f>VLOOKUP(B49,BS!$A:$S,18,FALSE)</f>
        <v>8187243.4800000004</v>
      </c>
      <c r="F49" s="18">
        <f t="shared" si="0"/>
        <v>776197.41000000015</v>
      </c>
      <c r="G49" s="19">
        <f t="shared" si="1"/>
        <v>0.10473520238149055</v>
      </c>
      <c r="I49" s="6" t="s">
        <v>506</v>
      </c>
      <c r="J49" s="20" t="s">
        <v>507</v>
      </c>
      <c r="K49" s="17">
        <f>VLOOKUP(I49,PL!$A:$S,4,FALSE)</f>
        <v>1277021.6100000001</v>
      </c>
      <c r="L49" s="17">
        <f>VLOOKUP(I49,PL!$A:$S,18,FALSE)</f>
        <v>1493034.11</v>
      </c>
      <c r="M49" s="18">
        <f t="shared" si="8"/>
        <v>216012.5</v>
      </c>
      <c r="N49" s="19">
        <f t="shared" si="9"/>
        <v>0.16915336303510164</v>
      </c>
    </row>
    <row r="50" spans="2:14" x14ac:dyDescent="0.4">
      <c r="B50" s="6" t="s">
        <v>112</v>
      </c>
      <c r="C50" s="20" t="s">
        <v>113</v>
      </c>
      <c r="D50" s="17">
        <f>VLOOKUP(B50,BS!$A:$S,5,FALSE)</f>
        <v>0</v>
      </c>
      <c r="E50" s="17">
        <f>VLOOKUP(B50,BS!$A:$S,18,FALSE)</f>
        <v>0</v>
      </c>
      <c r="F50" s="18">
        <f t="shared" si="0"/>
        <v>0</v>
      </c>
      <c r="G50" s="19">
        <f t="shared" si="1"/>
        <v>0</v>
      </c>
      <c r="I50" s="6" t="s">
        <v>508</v>
      </c>
      <c r="J50" s="20" t="s">
        <v>509</v>
      </c>
      <c r="K50" s="17">
        <f>VLOOKUP(I50,PL!$A:$S,4,FALSE)</f>
        <v>0</v>
      </c>
      <c r="L50" s="17">
        <f>VLOOKUP(I50,PL!$A:$S,18,FALSE)</f>
        <v>0</v>
      </c>
      <c r="M50" s="18">
        <f t="shared" si="8"/>
        <v>0</v>
      </c>
      <c r="N50" s="19">
        <f t="shared" si="9"/>
        <v>0</v>
      </c>
    </row>
    <row r="51" spans="2:14" x14ac:dyDescent="0.4">
      <c r="B51" s="6" t="s">
        <v>114</v>
      </c>
      <c r="C51" s="20" t="s">
        <v>115</v>
      </c>
      <c r="D51" s="17">
        <f>VLOOKUP(B51,BS!$A:$S,5,FALSE)</f>
        <v>0</v>
      </c>
      <c r="E51" s="17">
        <f>VLOOKUP(B51,BS!$A:$S,18,FALSE)</f>
        <v>0</v>
      </c>
      <c r="F51" s="18">
        <f t="shared" si="0"/>
        <v>0</v>
      </c>
      <c r="G51" s="19">
        <f t="shared" si="1"/>
        <v>0</v>
      </c>
      <c r="I51" s="6" t="s">
        <v>510</v>
      </c>
      <c r="J51" s="20" t="s">
        <v>511</v>
      </c>
      <c r="K51" s="17">
        <f>VLOOKUP(I51,PL!$A:$S,4,FALSE)</f>
        <v>4102958.15</v>
      </c>
      <c r="L51" s="17">
        <f>VLOOKUP(I51,PL!$A:$S,18,FALSE)</f>
        <v>5270271.3099999996</v>
      </c>
      <c r="M51" s="18">
        <f t="shared" si="8"/>
        <v>1167313.1599999997</v>
      </c>
      <c r="N51" s="19">
        <f t="shared" si="9"/>
        <v>0.28450525628685724</v>
      </c>
    </row>
    <row r="52" spans="2:14" x14ac:dyDescent="0.4">
      <c r="B52" s="6" t="s">
        <v>116</v>
      </c>
      <c r="C52" s="20" t="s">
        <v>117</v>
      </c>
      <c r="D52" s="17">
        <f>VLOOKUP(B52,BS!$A:$S,5,FALSE)</f>
        <v>0</v>
      </c>
      <c r="E52" s="17">
        <f>VLOOKUP(B52,BS!$A:$S,18,FALSE)</f>
        <v>0</v>
      </c>
      <c r="F52" s="18">
        <f t="shared" si="0"/>
        <v>0</v>
      </c>
      <c r="G52" s="19">
        <f t="shared" si="1"/>
        <v>0</v>
      </c>
      <c r="I52" s="6" t="s">
        <v>512</v>
      </c>
      <c r="J52" s="20" t="s">
        <v>513</v>
      </c>
      <c r="K52" s="17">
        <f>VLOOKUP(I52,PL!$A:$S,4,FALSE)</f>
        <v>1125963.8700000001</v>
      </c>
      <c r="L52" s="17">
        <f>VLOOKUP(I52,PL!$A:$S,18,FALSE)</f>
        <v>1045592.65</v>
      </c>
      <c r="M52" s="18">
        <f t="shared" si="8"/>
        <v>-80371.220000000088</v>
      </c>
      <c r="N52" s="19">
        <f t="shared" si="9"/>
        <v>-7.1379928025576952E-2</v>
      </c>
    </row>
    <row r="53" spans="2:14" x14ac:dyDescent="0.4">
      <c r="B53" s="15" t="s">
        <v>118</v>
      </c>
      <c r="C53" s="16" t="s">
        <v>119</v>
      </c>
      <c r="D53" s="17">
        <f>VLOOKUP(B53,BS!$A:$S,5,FALSE)</f>
        <v>226441507.38999999</v>
      </c>
      <c r="E53" s="17">
        <f>VLOOKUP(B53,BS!$A:$S,18,FALSE)</f>
        <v>211133076.03999999</v>
      </c>
      <c r="F53" s="18">
        <f t="shared" si="0"/>
        <v>-15308431.349999994</v>
      </c>
      <c r="G53" s="19">
        <f t="shared" si="1"/>
        <v>-6.7604351898410117E-2</v>
      </c>
      <c r="I53" s="6" t="s">
        <v>514</v>
      </c>
      <c r="J53" s="20" t="s">
        <v>515</v>
      </c>
      <c r="K53" s="17">
        <f>VLOOKUP(I53,PL!$A:$S,4,FALSE)</f>
        <v>2648026.5299999998</v>
      </c>
      <c r="L53" s="17">
        <f>VLOOKUP(I53,PL!$A:$S,18,FALSE)</f>
        <v>3739171.32</v>
      </c>
      <c r="M53" s="18">
        <f t="shared" si="8"/>
        <v>1091144.79</v>
      </c>
      <c r="N53" s="19">
        <f t="shared" si="9"/>
        <v>0.41205961407040742</v>
      </c>
    </row>
    <row r="54" spans="2:14" x14ac:dyDescent="0.4">
      <c r="B54" s="15" t="s">
        <v>120</v>
      </c>
      <c r="C54" s="16" t="s">
        <v>121</v>
      </c>
      <c r="D54" s="17">
        <f>VLOOKUP(B54,BS!$A:$S,5,FALSE)</f>
        <v>10000000</v>
      </c>
      <c r="E54" s="17">
        <f>VLOOKUP(B54,BS!$A:$S,18,FALSE)</f>
        <v>9166669</v>
      </c>
      <c r="F54" s="18">
        <f t="shared" si="0"/>
        <v>-833331</v>
      </c>
      <c r="G54" s="19">
        <f t="shared" si="1"/>
        <v>-8.3333099999999993E-2</v>
      </c>
      <c r="I54" s="6" t="s">
        <v>516</v>
      </c>
      <c r="J54" s="20" t="s">
        <v>517</v>
      </c>
      <c r="K54" s="17">
        <f>VLOOKUP(I54,PL!$A:$S,4,FALSE)</f>
        <v>56520831.710000001</v>
      </c>
      <c r="L54" s="17">
        <f>VLOOKUP(I54,PL!$A:$S,18,FALSE)</f>
        <v>41678748.380000003</v>
      </c>
      <c r="M54" s="18">
        <f t="shared" si="8"/>
        <v>-14842083.329999998</v>
      </c>
      <c r="N54" s="19">
        <f t="shared" si="9"/>
        <v>-0.26259492086302844</v>
      </c>
    </row>
    <row r="55" spans="2:14" x14ac:dyDescent="0.4">
      <c r="B55" s="6" t="s">
        <v>122</v>
      </c>
      <c r="C55" s="20" t="s">
        <v>123</v>
      </c>
      <c r="D55" s="17">
        <f>VLOOKUP(B55,BS!$A:$S,5,FALSE)</f>
        <v>0</v>
      </c>
      <c r="E55" s="17">
        <f>VLOOKUP(B55,BS!$A:$S,18,FALSE)</f>
        <v>0</v>
      </c>
      <c r="F55" s="18">
        <f t="shared" si="0"/>
        <v>0</v>
      </c>
      <c r="G55" s="19">
        <f t="shared" si="1"/>
        <v>0</v>
      </c>
      <c r="I55" s="6" t="s">
        <v>518</v>
      </c>
      <c r="J55" s="20" t="s">
        <v>519</v>
      </c>
      <c r="K55" s="17">
        <f>VLOOKUP(I55,PL!$A:$S,4,FALSE)</f>
        <v>1138816</v>
      </c>
      <c r="L55" s="17">
        <f>VLOOKUP(I55,PL!$A:$S,18,FALSE)</f>
        <v>1162514.46</v>
      </c>
      <c r="M55" s="18">
        <f t="shared" si="8"/>
        <v>23698.459999999963</v>
      </c>
      <c r="N55" s="19">
        <f t="shared" si="9"/>
        <v>2.0809735725525424E-2</v>
      </c>
    </row>
    <row r="56" spans="2:14" x14ac:dyDescent="0.4">
      <c r="B56" s="6" t="s">
        <v>124</v>
      </c>
      <c r="C56" s="20" t="s">
        <v>35</v>
      </c>
      <c r="D56" s="17">
        <f>VLOOKUP(B56,BS!$A:$S,5,FALSE)</f>
        <v>0</v>
      </c>
      <c r="E56" s="17">
        <f>VLOOKUP(B56,BS!$A:$S,18,FALSE)</f>
        <v>0</v>
      </c>
      <c r="F56" s="18">
        <f t="shared" si="0"/>
        <v>0</v>
      </c>
      <c r="G56" s="19">
        <f t="shared" si="1"/>
        <v>0</v>
      </c>
      <c r="I56" s="6" t="s">
        <v>520</v>
      </c>
      <c r="J56" s="20" t="s">
        <v>521</v>
      </c>
      <c r="K56" s="17">
        <f>VLOOKUP(I56,PL!$A:$S,4,FALSE)</f>
        <v>0</v>
      </c>
      <c r="L56" s="17">
        <f>VLOOKUP(I56,PL!$A:$S,18,FALSE)</f>
        <v>152997.03</v>
      </c>
      <c r="M56" s="18">
        <f t="shared" si="8"/>
        <v>152997.03</v>
      </c>
      <c r="N56" s="19">
        <f t="shared" si="9"/>
        <v>0</v>
      </c>
    </row>
    <row r="57" spans="2:14" x14ac:dyDescent="0.4">
      <c r="B57" s="6" t="s">
        <v>125</v>
      </c>
      <c r="C57" s="20" t="s">
        <v>37</v>
      </c>
      <c r="D57" s="17">
        <f>VLOOKUP(B57,BS!$A:$S,5,FALSE)</f>
        <v>0</v>
      </c>
      <c r="E57" s="17">
        <f>VLOOKUP(B57,BS!$A:$S,18,FALSE)</f>
        <v>0</v>
      </c>
      <c r="F57" s="18">
        <f t="shared" si="0"/>
        <v>0</v>
      </c>
      <c r="G57" s="19">
        <f t="shared" si="1"/>
        <v>0</v>
      </c>
      <c r="I57" s="6" t="s">
        <v>522</v>
      </c>
      <c r="J57" s="20" t="s">
        <v>523</v>
      </c>
      <c r="K57" s="17">
        <f>VLOOKUP(I57,PL!$A:$S,4,FALSE)</f>
        <v>355818</v>
      </c>
      <c r="L57" s="17">
        <f>VLOOKUP(I57,PL!$A:$S,18,FALSE)</f>
        <v>71702.41</v>
      </c>
      <c r="M57" s="18">
        <f t="shared" si="8"/>
        <v>-284115.58999999997</v>
      </c>
      <c r="N57" s="19">
        <f t="shared" si="9"/>
        <v>-0.79848571460690565</v>
      </c>
    </row>
    <row r="58" spans="2:14" x14ac:dyDescent="0.4">
      <c r="B58" s="6" t="s">
        <v>126</v>
      </c>
      <c r="C58" s="20" t="s">
        <v>127</v>
      </c>
      <c r="D58" s="17">
        <f>VLOOKUP(B58,BS!$A:$S,5,FALSE)</f>
        <v>0</v>
      </c>
      <c r="E58" s="17">
        <f>VLOOKUP(B58,BS!$A:$S,18,FALSE)</f>
        <v>0</v>
      </c>
      <c r="F58" s="18">
        <f t="shared" si="0"/>
        <v>0</v>
      </c>
      <c r="G58" s="19">
        <f t="shared" si="1"/>
        <v>0</v>
      </c>
      <c r="I58" s="6" t="s">
        <v>524</v>
      </c>
      <c r="J58" s="20" t="s">
        <v>525</v>
      </c>
      <c r="K58" s="17">
        <f>VLOOKUP(I58,PL!$A:$S,4,FALSE)</f>
        <v>11295985.65</v>
      </c>
      <c r="L58" s="17">
        <f>VLOOKUP(I58,PL!$A:$S,18,FALSE)</f>
        <v>11359539.960000001</v>
      </c>
      <c r="M58" s="18">
        <f t="shared" si="8"/>
        <v>63554.310000000522</v>
      </c>
      <c r="N58" s="19">
        <f t="shared" si="9"/>
        <v>5.6262739675134524E-3</v>
      </c>
    </row>
    <row r="59" spans="2:14" x14ac:dyDescent="0.4">
      <c r="B59" s="6" t="s">
        <v>128</v>
      </c>
      <c r="C59" s="20" t="s">
        <v>129</v>
      </c>
      <c r="D59" s="17">
        <f>VLOOKUP(B59,BS!$A:$S,5,FALSE)</f>
        <v>0</v>
      </c>
      <c r="E59" s="17">
        <f>VLOOKUP(B59,BS!$A:$S,18,FALSE)</f>
        <v>0</v>
      </c>
      <c r="F59" s="18">
        <f t="shared" si="0"/>
        <v>0</v>
      </c>
      <c r="G59" s="19">
        <f t="shared" si="1"/>
        <v>0</v>
      </c>
      <c r="I59" s="6" t="s">
        <v>526</v>
      </c>
      <c r="J59" s="20" t="s">
        <v>527</v>
      </c>
      <c r="K59" s="17">
        <f>VLOOKUP(I59,PL!$A:$S,4,FALSE)</f>
        <v>0</v>
      </c>
      <c r="L59" s="17">
        <f>VLOOKUP(I59,PL!$A:$S,18,FALSE)</f>
        <v>0</v>
      </c>
      <c r="M59" s="18">
        <f t="shared" si="8"/>
        <v>0</v>
      </c>
      <c r="N59" s="19">
        <f t="shared" si="9"/>
        <v>0</v>
      </c>
    </row>
    <row r="60" spans="2:14" x14ac:dyDescent="0.4">
      <c r="B60" s="6" t="s">
        <v>130</v>
      </c>
      <c r="C60" s="20" t="s">
        <v>131</v>
      </c>
      <c r="D60" s="17">
        <f>VLOOKUP(B60,BS!$A:$S,5,FALSE)</f>
        <v>0</v>
      </c>
      <c r="E60" s="17">
        <f>VLOOKUP(B60,BS!$A:$S,18,FALSE)</f>
        <v>0</v>
      </c>
      <c r="F60" s="18">
        <f t="shared" si="0"/>
        <v>0</v>
      </c>
      <c r="G60" s="19">
        <f t="shared" si="1"/>
        <v>0</v>
      </c>
      <c r="I60" s="6" t="s">
        <v>528</v>
      </c>
      <c r="J60" s="20" t="s">
        <v>529</v>
      </c>
      <c r="K60" s="17">
        <f>VLOOKUP(I60,PL!$A:$S,4,FALSE)</f>
        <v>127751.7</v>
      </c>
      <c r="L60" s="17">
        <f>VLOOKUP(I60,PL!$A:$S,18,FALSE)</f>
        <v>66367.77</v>
      </c>
      <c r="M60" s="18">
        <f t="shared" si="8"/>
        <v>-61383.929999999993</v>
      </c>
      <c r="N60" s="19">
        <f t="shared" si="9"/>
        <v>-0.48049403647857519</v>
      </c>
    </row>
    <row r="61" spans="2:14" x14ac:dyDescent="0.4">
      <c r="B61" s="6" t="s">
        <v>132</v>
      </c>
      <c r="C61" s="20" t="s">
        <v>133</v>
      </c>
      <c r="D61" s="17">
        <f>VLOOKUP(B61,BS!$A:$S,5,FALSE)</f>
        <v>10000000</v>
      </c>
      <c r="E61" s="17">
        <f>VLOOKUP(B61,BS!$A:$S,18,FALSE)</f>
        <v>9166669</v>
      </c>
      <c r="F61" s="18">
        <f t="shared" si="0"/>
        <v>-833331</v>
      </c>
      <c r="G61" s="19">
        <f t="shared" si="1"/>
        <v>-8.3333099999999993E-2</v>
      </c>
      <c r="I61" s="6" t="s">
        <v>530</v>
      </c>
      <c r="J61" s="20" t="s">
        <v>531</v>
      </c>
      <c r="K61" s="17">
        <f>VLOOKUP(I61,PL!$A:$S,4,FALSE)</f>
        <v>3434625.83</v>
      </c>
      <c r="L61" s="17">
        <f>VLOOKUP(I61,PL!$A:$S,18,FALSE)</f>
        <v>2248576.38</v>
      </c>
      <c r="M61" s="18">
        <f t="shared" si="8"/>
        <v>-1186049.4500000002</v>
      </c>
      <c r="N61" s="19">
        <f t="shared" si="9"/>
        <v>-0.34532129806989781</v>
      </c>
    </row>
    <row r="62" spans="2:14" x14ac:dyDescent="0.4">
      <c r="B62" s="6" t="s">
        <v>134</v>
      </c>
      <c r="C62" s="20" t="s">
        <v>135</v>
      </c>
      <c r="D62" s="17">
        <f>VLOOKUP(B62,BS!$A:$S,5,FALSE)</f>
        <v>0</v>
      </c>
      <c r="E62" s="17">
        <f>VLOOKUP(B62,BS!$A:$S,18,FALSE)</f>
        <v>0</v>
      </c>
      <c r="F62" s="18">
        <f t="shared" si="0"/>
        <v>0</v>
      </c>
      <c r="G62" s="19">
        <f t="shared" si="1"/>
        <v>0</v>
      </c>
      <c r="I62" s="6" t="s">
        <v>532</v>
      </c>
      <c r="J62" s="20" t="s">
        <v>533</v>
      </c>
      <c r="K62" s="17">
        <f>VLOOKUP(I62,PL!$A:$S,4,FALSE)</f>
        <v>0</v>
      </c>
      <c r="L62" s="17">
        <f>VLOOKUP(I62,PL!$A:$S,18,FALSE)</f>
        <v>0</v>
      </c>
      <c r="M62" s="18">
        <f t="shared" si="8"/>
        <v>0</v>
      </c>
      <c r="N62" s="19">
        <f t="shared" si="9"/>
        <v>0</v>
      </c>
    </row>
    <row r="63" spans="2:14" x14ac:dyDescent="0.4">
      <c r="B63" s="6" t="s">
        <v>136</v>
      </c>
      <c r="C63" s="20" t="s">
        <v>137</v>
      </c>
      <c r="D63" s="17">
        <f>VLOOKUP(B63,BS!$A:$S,5,FALSE)</f>
        <v>0</v>
      </c>
      <c r="E63" s="17">
        <f>VLOOKUP(B63,BS!$A:$S,18,FALSE)</f>
        <v>0</v>
      </c>
      <c r="F63" s="18">
        <f t="shared" si="0"/>
        <v>0</v>
      </c>
      <c r="G63" s="19">
        <f t="shared" si="1"/>
        <v>0</v>
      </c>
      <c r="I63" s="6" t="s">
        <v>534</v>
      </c>
      <c r="J63" s="20" t="s">
        <v>535</v>
      </c>
      <c r="K63" s="17">
        <f>VLOOKUP(I63,PL!$A:$S,4,FALSE)</f>
        <v>5594245</v>
      </c>
      <c r="L63" s="17">
        <f>VLOOKUP(I63,PL!$A:$S,18,FALSE)</f>
        <v>5356283.6900000004</v>
      </c>
      <c r="M63" s="18">
        <f t="shared" si="8"/>
        <v>-237961.30999999959</v>
      </c>
      <c r="N63" s="19">
        <f t="shared" si="9"/>
        <v>-4.2536805234665194E-2</v>
      </c>
    </row>
    <row r="64" spans="2:14" x14ac:dyDescent="0.4">
      <c r="B64" s="6" t="s">
        <v>138</v>
      </c>
      <c r="C64" s="20" t="s">
        <v>139</v>
      </c>
      <c r="D64" s="17">
        <f>VLOOKUP(B64,BS!$A:$S,5,FALSE)</f>
        <v>0</v>
      </c>
      <c r="E64" s="17">
        <f>VLOOKUP(B64,BS!$A:$S,18,FALSE)</f>
        <v>0</v>
      </c>
      <c r="F64" s="18">
        <f t="shared" si="0"/>
        <v>0</v>
      </c>
      <c r="G64" s="19">
        <f t="shared" si="1"/>
        <v>0</v>
      </c>
      <c r="I64" s="6" t="s">
        <v>536</v>
      </c>
      <c r="J64" s="20" t="s">
        <v>537</v>
      </c>
      <c r="K64" s="17">
        <f>VLOOKUP(I64,PL!$A:$S,4,FALSE)</f>
        <v>65978111.68</v>
      </c>
      <c r="L64" s="17">
        <f>VLOOKUP(I64,PL!$A:$S,18,FALSE)</f>
        <v>9375900.5800000001</v>
      </c>
      <c r="M64" s="18">
        <f t="shared" si="8"/>
        <v>-56602211.100000001</v>
      </c>
      <c r="N64" s="19">
        <f t="shared" si="9"/>
        <v>-0.85789377202133354</v>
      </c>
    </row>
    <row r="65" spans="2:14" x14ac:dyDescent="0.4">
      <c r="B65" s="6" t="s">
        <v>140</v>
      </c>
      <c r="C65" s="20" t="s">
        <v>141</v>
      </c>
      <c r="D65" s="17">
        <f>VLOOKUP(B65,BS!$A:$S,5,FALSE)</f>
        <v>0</v>
      </c>
      <c r="E65" s="17">
        <f>VLOOKUP(B65,BS!$A:$S,18,FALSE)</f>
        <v>0</v>
      </c>
      <c r="F65" s="18">
        <f t="shared" si="0"/>
        <v>0</v>
      </c>
      <c r="G65" s="19">
        <f t="shared" si="1"/>
        <v>0</v>
      </c>
      <c r="I65" s="6" t="s">
        <v>538</v>
      </c>
      <c r="J65" s="20" t="s">
        <v>539</v>
      </c>
      <c r="K65" s="17">
        <f>VLOOKUP(I65,PL!$A:$S,4,FALSE)</f>
        <v>0</v>
      </c>
      <c r="L65" s="17">
        <f>VLOOKUP(I65,PL!$A:$S,18,FALSE)</f>
        <v>0</v>
      </c>
      <c r="M65" s="18">
        <f t="shared" si="8"/>
        <v>0</v>
      </c>
      <c r="N65" s="19">
        <f t="shared" si="9"/>
        <v>0</v>
      </c>
    </row>
    <row r="66" spans="2:14" x14ac:dyDescent="0.4">
      <c r="B66" s="6" t="s">
        <v>142</v>
      </c>
      <c r="C66" s="20" t="s">
        <v>143</v>
      </c>
      <c r="D66" s="17">
        <f>VLOOKUP(B66,BS!$A:$S,5,FALSE)</f>
        <v>0</v>
      </c>
      <c r="E66" s="17">
        <f>VLOOKUP(B66,BS!$A:$S,18,FALSE)</f>
        <v>0</v>
      </c>
      <c r="F66" s="18">
        <f t="shared" si="0"/>
        <v>0</v>
      </c>
      <c r="G66" s="19">
        <f t="shared" si="1"/>
        <v>0</v>
      </c>
      <c r="I66" s="6" t="s">
        <v>540</v>
      </c>
      <c r="J66" s="20" t="s">
        <v>541</v>
      </c>
      <c r="K66" s="17">
        <f>VLOOKUP(I66,PL!$A:$S,4,FALSE)</f>
        <v>0</v>
      </c>
      <c r="L66" s="17">
        <f>VLOOKUP(I66,PL!$A:$S,18,FALSE)</f>
        <v>0</v>
      </c>
      <c r="M66" s="18">
        <f t="shared" si="8"/>
        <v>0</v>
      </c>
      <c r="N66" s="19">
        <f t="shared" si="9"/>
        <v>0</v>
      </c>
    </row>
    <row r="67" spans="2:14" x14ac:dyDescent="0.4">
      <c r="B67" s="15" t="s">
        <v>144</v>
      </c>
      <c r="C67" s="16" t="s">
        <v>145</v>
      </c>
      <c r="D67" s="17">
        <f>VLOOKUP(B67,BS!$A:$S,5,FALSE)</f>
        <v>195229831.59</v>
      </c>
      <c r="E67" s="17">
        <f>VLOOKUP(B67,BS!$A:$S,18,FALSE)</f>
        <v>180370227.00999999</v>
      </c>
      <c r="F67" s="18">
        <f t="shared" si="0"/>
        <v>-14859604.580000013</v>
      </c>
      <c r="G67" s="19">
        <f t="shared" si="1"/>
        <v>-7.6113391375589076E-2</v>
      </c>
      <c r="I67" s="6" t="s">
        <v>542</v>
      </c>
      <c r="J67" s="20" t="s">
        <v>543</v>
      </c>
      <c r="K67" s="17">
        <f>VLOOKUP(I67,PL!$A:$S,4,FALSE)</f>
        <v>0</v>
      </c>
      <c r="L67" s="17">
        <f>VLOOKUP(I67,PL!$A:$S,18,FALSE)</f>
        <v>0</v>
      </c>
      <c r="M67" s="18">
        <f t="shared" si="8"/>
        <v>0</v>
      </c>
      <c r="N67" s="19">
        <f t="shared" si="9"/>
        <v>0</v>
      </c>
    </row>
    <row r="68" spans="2:14" x14ac:dyDescent="0.4">
      <c r="B68" s="6" t="s">
        <v>146</v>
      </c>
      <c r="C68" s="20" t="s">
        <v>147</v>
      </c>
      <c r="D68" s="17">
        <f>VLOOKUP(B68,BS!$A:$S,5,FALSE)</f>
        <v>12663333</v>
      </c>
      <c r="E68" s="17">
        <f>VLOOKUP(B68,BS!$A:$S,18,FALSE)</f>
        <v>12663333</v>
      </c>
      <c r="F68" s="18">
        <f t="shared" ref="F68:F131" si="12">E68-D68</f>
        <v>0</v>
      </c>
      <c r="G68" s="19">
        <f t="shared" ref="G68:G131" si="13">IFERROR(F68/D68,0)</f>
        <v>0</v>
      </c>
      <c r="I68" s="6" t="s">
        <v>544</v>
      </c>
      <c r="J68" s="20" t="s">
        <v>545</v>
      </c>
      <c r="K68" s="17">
        <f>VLOOKUP(I68,PL!$A:$S,4,FALSE)</f>
        <v>0</v>
      </c>
      <c r="L68" s="17">
        <f>VLOOKUP(I68,PL!$A:$S,18,FALSE)</f>
        <v>0</v>
      </c>
      <c r="M68" s="18">
        <f t="shared" si="8"/>
        <v>0</v>
      </c>
      <c r="N68" s="19">
        <f t="shared" si="9"/>
        <v>0</v>
      </c>
    </row>
    <row r="69" spans="2:14" x14ac:dyDescent="0.4">
      <c r="B69" s="6" t="s">
        <v>148</v>
      </c>
      <c r="C69" s="20" t="s">
        <v>149</v>
      </c>
      <c r="D69" s="17">
        <f>VLOOKUP(B69,BS!$A:$S,5,FALSE)</f>
        <v>78836667</v>
      </c>
      <c r="E69" s="17">
        <f>VLOOKUP(B69,BS!$A:$S,18,FALSE)</f>
        <v>78836667</v>
      </c>
      <c r="F69" s="18">
        <f t="shared" si="12"/>
        <v>0</v>
      </c>
      <c r="G69" s="19">
        <f t="shared" si="13"/>
        <v>0</v>
      </c>
      <c r="I69" s="6" t="s">
        <v>546</v>
      </c>
      <c r="J69" s="20" t="s">
        <v>547</v>
      </c>
      <c r="K69" s="17">
        <f>VLOOKUP(I69,PL!$A:$S,4,FALSE)</f>
        <v>87384383.25</v>
      </c>
      <c r="L69" s="17">
        <f>VLOOKUP(I69,PL!$A:$S,18,FALSE)</f>
        <v>87594462.689999998</v>
      </c>
      <c r="M69" s="18">
        <f t="shared" si="8"/>
        <v>210079.43999999762</v>
      </c>
      <c r="N69" s="19">
        <f t="shared" si="9"/>
        <v>2.4040844849700033E-3</v>
      </c>
    </row>
    <row r="70" spans="2:14" x14ac:dyDescent="0.4">
      <c r="B70" s="6" t="s">
        <v>150</v>
      </c>
      <c r="C70" s="20" t="s">
        <v>151</v>
      </c>
      <c r="D70" s="17">
        <f>VLOOKUP(B70,BS!$A:$S,5,FALSE)</f>
        <v>-17574762.460000001</v>
      </c>
      <c r="E70" s="17">
        <f>VLOOKUP(B70,BS!$A:$S,18,FALSE)</f>
        <v>-19537378.899999999</v>
      </c>
      <c r="F70" s="18">
        <f t="shared" si="12"/>
        <v>-1962616.4399999976</v>
      </c>
      <c r="G70" s="19">
        <f t="shared" si="13"/>
        <v>0.11167243053594009</v>
      </c>
      <c r="I70" s="6" t="s">
        <v>548</v>
      </c>
      <c r="J70" s="20" t="s">
        <v>549</v>
      </c>
      <c r="K70" s="17">
        <f>VLOOKUP(I70,PL!$A:$S,4,FALSE)</f>
        <v>0</v>
      </c>
      <c r="L70" s="17">
        <f>VLOOKUP(I70,PL!$A:$S,18,FALSE)</f>
        <v>0</v>
      </c>
      <c r="M70" s="18">
        <f t="shared" si="8"/>
        <v>0</v>
      </c>
      <c r="N70" s="19">
        <f t="shared" si="9"/>
        <v>0</v>
      </c>
    </row>
    <row r="71" spans="2:14" x14ac:dyDescent="0.4">
      <c r="B71" s="6" t="s">
        <v>152</v>
      </c>
      <c r="C71" s="20" t="s">
        <v>153</v>
      </c>
      <c r="D71" s="17">
        <f>VLOOKUP(B71,BS!$A:$S,5,FALSE)</f>
        <v>0</v>
      </c>
      <c r="E71" s="17">
        <f>VLOOKUP(B71,BS!$A:$S,18,FALSE)</f>
        <v>0</v>
      </c>
      <c r="F71" s="18">
        <f t="shared" si="12"/>
        <v>0</v>
      </c>
      <c r="G71" s="19">
        <f t="shared" si="13"/>
        <v>0</v>
      </c>
      <c r="I71" s="6" t="s">
        <v>550</v>
      </c>
      <c r="J71" s="20" t="s">
        <v>551</v>
      </c>
      <c r="K71" s="17">
        <f>VLOOKUP(I71,PL!$A:$S,4,FALSE)</f>
        <v>0</v>
      </c>
      <c r="L71" s="17">
        <f>VLOOKUP(I71,PL!$A:$S,18,FALSE)</f>
        <v>0</v>
      </c>
      <c r="M71" s="18">
        <f t="shared" ref="M71:M103" si="14">L71-K71</f>
        <v>0</v>
      </c>
      <c r="N71" s="19">
        <f t="shared" ref="N71:N103" si="15">IFERROR(M71/K71,0)</f>
        <v>0</v>
      </c>
    </row>
    <row r="72" spans="2:14" x14ac:dyDescent="0.4">
      <c r="B72" s="6" t="s">
        <v>154</v>
      </c>
      <c r="C72" s="20" t="s">
        <v>155</v>
      </c>
      <c r="D72" s="17">
        <f>VLOOKUP(B72,BS!$A:$S,5,FALSE)</f>
        <v>0</v>
      </c>
      <c r="E72" s="17">
        <f>VLOOKUP(B72,BS!$A:$S,18,FALSE)</f>
        <v>0</v>
      </c>
      <c r="F72" s="18">
        <f t="shared" si="12"/>
        <v>0</v>
      </c>
      <c r="G72" s="19">
        <f t="shared" si="13"/>
        <v>0</v>
      </c>
      <c r="I72" s="6" t="s">
        <v>552</v>
      </c>
      <c r="J72" s="20" t="s">
        <v>553</v>
      </c>
      <c r="K72" s="17">
        <f>VLOOKUP(I72,PL!$A:$S,4,FALSE)</f>
        <v>0</v>
      </c>
      <c r="L72" s="17">
        <f>VLOOKUP(I72,PL!$A:$S,18,FALSE)</f>
        <v>0</v>
      </c>
      <c r="M72" s="18">
        <f t="shared" si="14"/>
        <v>0</v>
      </c>
      <c r="N72" s="19">
        <f t="shared" si="15"/>
        <v>0</v>
      </c>
    </row>
    <row r="73" spans="2:14" x14ac:dyDescent="0.4">
      <c r="B73" s="6" t="s">
        <v>156</v>
      </c>
      <c r="C73" s="20" t="s">
        <v>157</v>
      </c>
      <c r="D73" s="17">
        <f>VLOOKUP(B73,BS!$A:$S,5,FALSE)</f>
        <v>0</v>
      </c>
      <c r="E73" s="17">
        <f>VLOOKUP(B73,BS!$A:$S,18,FALSE)</f>
        <v>0</v>
      </c>
      <c r="F73" s="18">
        <f t="shared" si="12"/>
        <v>0</v>
      </c>
      <c r="G73" s="19">
        <f t="shared" si="13"/>
        <v>0</v>
      </c>
      <c r="I73" s="6" t="s">
        <v>554</v>
      </c>
      <c r="J73" s="20" t="s">
        <v>555</v>
      </c>
      <c r="K73" s="17">
        <f>VLOOKUP(I73,PL!$A:$S,4,FALSE)</f>
        <v>0</v>
      </c>
      <c r="L73" s="17">
        <f>VLOOKUP(I73,PL!$A:$S,18,FALSE)</f>
        <v>0</v>
      </c>
      <c r="M73" s="18">
        <f t="shared" si="14"/>
        <v>0</v>
      </c>
      <c r="N73" s="19">
        <f t="shared" si="15"/>
        <v>0</v>
      </c>
    </row>
    <row r="74" spans="2:14" x14ac:dyDescent="0.4">
      <c r="B74" s="6" t="s">
        <v>158</v>
      </c>
      <c r="C74" s="20" t="s">
        <v>159</v>
      </c>
      <c r="D74" s="17">
        <f>VLOOKUP(B74,BS!$A:$S,5,FALSE)</f>
        <v>73573524.079999998</v>
      </c>
      <c r="E74" s="17">
        <f>VLOOKUP(B74,BS!$A:$S,18,FALSE)</f>
        <v>73573524.079999998</v>
      </c>
      <c r="F74" s="18">
        <f t="shared" si="12"/>
        <v>0</v>
      </c>
      <c r="G74" s="19">
        <f t="shared" si="13"/>
        <v>0</v>
      </c>
      <c r="I74" s="6" t="s">
        <v>556</v>
      </c>
      <c r="J74" s="20" t="s">
        <v>557</v>
      </c>
      <c r="K74" s="17">
        <f>VLOOKUP(I74,PL!$A:$S,4,FALSE)</f>
        <v>0</v>
      </c>
      <c r="L74" s="17">
        <f>VLOOKUP(I74,PL!$A:$S,18,FALSE)</f>
        <v>0</v>
      </c>
      <c r="M74" s="18">
        <f t="shared" ref="M74" si="16">L74-K74</f>
        <v>0</v>
      </c>
      <c r="N74" s="19">
        <f t="shared" ref="N74" si="17">IFERROR(M74/K74,0)</f>
        <v>0</v>
      </c>
    </row>
    <row r="75" spans="2:14" x14ac:dyDescent="0.4">
      <c r="B75" s="6" t="s">
        <v>160</v>
      </c>
      <c r="C75" s="20" t="s">
        <v>161</v>
      </c>
      <c r="D75" s="17">
        <f>VLOOKUP(B75,BS!$A:$S,5,FALSE)</f>
        <v>-12588746.18</v>
      </c>
      <c r="E75" s="17">
        <f>VLOOKUP(B75,BS!$A:$S,18,FALSE)</f>
        <v>-15829645.699999999</v>
      </c>
      <c r="F75" s="18">
        <f t="shared" si="12"/>
        <v>-3240899.5199999996</v>
      </c>
      <c r="G75" s="19">
        <f t="shared" si="13"/>
        <v>0.25744418655043527</v>
      </c>
      <c r="I75" s="6" t="s">
        <v>723</v>
      </c>
      <c r="J75" s="20" t="s">
        <v>724</v>
      </c>
      <c r="K75" s="17">
        <f>VLOOKUP(I75,PL!$A:$S,4,FALSE)</f>
        <v>0</v>
      </c>
      <c r="L75" s="17">
        <f>VLOOKUP(I75,PL!$A:$S,18,FALSE)</f>
        <v>0</v>
      </c>
      <c r="M75" s="18">
        <f t="shared" si="14"/>
        <v>0</v>
      </c>
      <c r="N75" s="19">
        <f t="shared" si="15"/>
        <v>0</v>
      </c>
    </row>
    <row r="76" spans="2:14" x14ac:dyDescent="0.4">
      <c r="B76" s="6" t="s">
        <v>162</v>
      </c>
      <c r="C76" s="20" t="s">
        <v>163</v>
      </c>
      <c r="D76" s="17">
        <f>VLOOKUP(B76,BS!$A:$S,5,FALSE)</f>
        <v>0</v>
      </c>
      <c r="E76" s="17">
        <f>VLOOKUP(B76,BS!$A:$S,18,FALSE)</f>
        <v>0</v>
      </c>
      <c r="F76" s="18">
        <f t="shared" si="12"/>
        <v>0</v>
      </c>
      <c r="G76" s="19">
        <f t="shared" si="13"/>
        <v>0</v>
      </c>
      <c r="I76" s="15" t="s">
        <v>558</v>
      </c>
      <c r="J76" s="16" t="s">
        <v>559</v>
      </c>
      <c r="K76" s="17">
        <f>VLOOKUP(I76,PL!$A:$S,4,FALSE)</f>
        <v>-146750359.09</v>
      </c>
      <c r="L76" s="17">
        <f>VLOOKUP(I76,PL!$A:$S,18,FALSE)</f>
        <v>-278541977.05000001</v>
      </c>
      <c r="M76" s="18">
        <f t="shared" si="14"/>
        <v>-131791617.96000001</v>
      </c>
      <c r="N76" s="19">
        <f t="shared" si="15"/>
        <v>0.89806674939155684</v>
      </c>
    </row>
    <row r="77" spans="2:14" x14ac:dyDescent="0.4">
      <c r="B77" s="6" t="s">
        <v>164</v>
      </c>
      <c r="C77" s="20" t="s">
        <v>165</v>
      </c>
      <c r="D77" s="17">
        <f>VLOOKUP(B77,BS!$A:$S,5,FALSE)</f>
        <v>0</v>
      </c>
      <c r="E77" s="17">
        <f>VLOOKUP(B77,BS!$A:$S,18,FALSE)</f>
        <v>0</v>
      </c>
      <c r="F77" s="18">
        <f t="shared" si="12"/>
        <v>0</v>
      </c>
      <c r="G77" s="19">
        <f t="shared" si="13"/>
        <v>0</v>
      </c>
      <c r="I77" s="15" t="s">
        <v>560</v>
      </c>
      <c r="J77" s="16" t="s">
        <v>561</v>
      </c>
      <c r="K77" s="17">
        <f>VLOOKUP(I77,PL!$A:$S,4,FALSE)</f>
        <v>367847932.52999997</v>
      </c>
      <c r="L77" s="17">
        <f>VLOOKUP(I77,PL!$A:$S,18,FALSE)</f>
        <v>214538173.75</v>
      </c>
      <c r="M77" s="18">
        <f t="shared" si="14"/>
        <v>-153309758.77999997</v>
      </c>
      <c r="N77" s="19">
        <f t="shared" si="15"/>
        <v>-0.41677482791750292</v>
      </c>
    </row>
    <row r="78" spans="2:14" x14ac:dyDescent="0.4">
      <c r="B78" s="6" t="s">
        <v>166</v>
      </c>
      <c r="C78" s="20" t="s">
        <v>167</v>
      </c>
      <c r="D78" s="17">
        <f>VLOOKUP(B78,BS!$A:$S,5,FALSE)</f>
        <v>19178571.43</v>
      </c>
      <c r="E78" s="17">
        <f>VLOOKUP(B78,BS!$A:$S,18,FALSE)</f>
        <v>19178571.43</v>
      </c>
      <c r="F78" s="18">
        <f t="shared" si="12"/>
        <v>0</v>
      </c>
      <c r="G78" s="19">
        <f t="shared" si="13"/>
        <v>0</v>
      </c>
      <c r="I78" s="6" t="s">
        <v>562</v>
      </c>
      <c r="J78" s="20" t="s">
        <v>563</v>
      </c>
      <c r="K78" s="17">
        <f>VLOOKUP(I78,PL!$A:$S,4,FALSE)</f>
        <v>0</v>
      </c>
      <c r="L78" s="17">
        <f>VLOOKUP(I78,PL!$A:$S,18,FALSE)</f>
        <v>0</v>
      </c>
      <c r="M78" s="18">
        <f t="shared" si="14"/>
        <v>0</v>
      </c>
      <c r="N78" s="19">
        <f t="shared" si="15"/>
        <v>0</v>
      </c>
    </row>
    <row r="79" spans="2:14" x14ac:dyDescent="0.4">
      <c r="B79" s="6" t="s">
        <v>168</v>
      </c>
      <c r="C79" s="20" t="s">
        <v>169</v>
      </c>
      <c r="D79" s="17">
        <f>VLOOKUP(B79,BS!$A:$S,5,FALSE)</f>
        <v>-12466071.539999999</v>
      </c>
      <c r="E79" s="17">
        <f>VLOOKUP(B79,BS!$A:$S,18,FALSE)</f>
        <v>-12945535.83</v>
      </c>
      <c r="F79" s="18">
        <f t="shared" si="12"/>
        <v>-479464.29000000097</v>
      </c>
      <c r="G79" s="19">
        <f t="shared" si="13"/>
        <v>3.846153846153854E-2</v>
      </c>
      <c r="I79" s="6" t="s">
        <v>564</v>
      </c>
      <c r="J79" s="20" t="s">
        <v>565</v>
      </c>
      <c r="K79" s="17">
        <f>VLOOKUP(I79,PL!$A:$S,4,FALSE)</f>
        <v>0</v>
      </c>
      <c r="L79" s="17">
        <f>VLOOKUP(I79,PL!$A:$S,18,FALSE)</f>
        <v>0</v>
      </c>
      <c r="M79" s="18">
        <f t="shared" si="14"/>
        <v>0</v>
      </c>
      <c r="N79" s="19">
        <f t="shared" si="15"/>
        <v>0</v>
      </c>
    </row>
    <row r="80" spans="2:14" x14ac:dyDescent="0.4">
      <c r="B80" s="6" t="s">
        <v>170</v>
      </c>
      <c r="C80" s="20" t="s">
        <v>171</v>
      </c>
      <c r="D80" s="17">
        <f>VLOOKUP(B80,BS!$A:$S,5,FALSE)</f>
        <v>0</v>
      </c>
      <c r="E80" s="17">
        <f>VLOOKUP(B80,BS!$A:$S,18,FALSE)</f>
        <v>0</v>
      </c>
      <c r="F80" s="18">
        <f t="shared" si="12"/>
        <v>0</v>
      </c>
      <c r="G80" s="19">
        <f t="shared" si="13"/>
        <v>0</v>
      </c>
      <c r="I80" s="6" t="s">
        <v>566</v>
      </c>
      <c r="J80" s="20" t="s">
        <v>567</v>
      </c>
      <c r="K80" s="17">
        <f>VLOOKUP(I80,PL!$A:$S,4,FALSE)</f>
        <v>0</v>
      </c>
      <c r="L80" s="17">
        <f>VLOOKUP(I80,PL!$A:$S,18,FALSE)</f>
        <v>0</v>
      </c>
      <c r="M80" s="18">
        <f t="shared" si="14"/>
        <v>0</v>
      </c>
      <c r="N80" s="19">
        <f t="shared" si="15"/>
        <v>0</v>
      </c>
    </row>
    <row r="81" spans="2:14" x14ac:dyDescent="0.4">
      <c r="B81" s="6" t="s">
        <v>172</v>
      </c>
      <c r="C81" s="20" t="s">
        <v>173</v>
      </c>
      <c r="D81" s="17">
        <f>VLOOKUP(B81,BS!$A:$S,5,FALSE)</f>
        <v>0</v>
      </c>
      <c r="E81" s="17">
        <f>VLOOKUP(B81,BS!$A:$S,18,FALSE)</f>
        <v>0</v>
      </c>
      <c r="F81" s="18">
        <f t="shared" si="12"/>
        <v>0</v>
      </c>
      <c r="G81" s="19">
        <f t="shared" si="13"/>
        <v>0</v>
      </c>
      <c r="I81" s="6" t="s">
        <v>568</v>
      </c>
      <c r="J81" s="20" t="s">
        <v>569</v>
      </c>
      <c r="K81" s="17">
        <f>VLOOKUP(I81,PL!$A:$S,4,FALSE)</f>
        <v>2742629.46</v>
      </c>
      <c r="L81" s="17">
        <f>VLOOKUP(I81,PL!$A:$S,18,FALSE)</f>
        <v>0</v>
      </c>
      <c r="M81" s="18">
        <f t="shared" si="14"/>
        <v>-2742629.46</v>
      </c>
      <c r="N81" s="19">
        <f t="shared" si="15"/>
        <v>-1</v>
      </c>
    </row>
    <row r="82" spans="2:14" x14ac:dyDescent="0.4">
      <c r="B82" s="6" t="s">
        <v>174</v>
      </c>
      <c r="C82" s="20" t="s">
        <v>175</v>
      </c>
      <c r="D82" s="17">
        <f>VLOOKUP(B82,BS!$A:$S,5,FALSE)</f>
        <v>0</v>
      </c>
      <c r="E82" s="17">
        <f>VLOOKUP(B82,BS!$A:$S,18,FALSE)</f>
        <v>0</v>
      </c>
      <c r="F82" s="18">
        <f t="shared" si="12"/>
        <v>0</v>
      </c>
      <c r="G82" s="19">
        <f t="shared" si="13"/>
        <v>0</v>
      </c>
      <c r="I82" s="6" t="s">
        <v>570</v>
      </c>
      <c r="J82" s="20" t="s">
        <v>571</v>
      </c>
      <c r="K82" s="17">
        <f>VLOOKUP(I82,PL!$A:$S,4,FALSE)</f>
        <v>363584253.47000003</v>
      </c>
      <c r="L82" s="17">
        <f>VLOOKUP(I82,PL!$A:$S,18,FALSE)</f>
        <v>209239869.06999999</v>
      </c>
      <c r="M82" s="18">
        <f t="shared" si="14"/>
        <v>-154344384.40000004</v>
      </c>
      <c r="N82" s="19">
        <f t="shared" si="15"/>
        <v>-0.42450789033616732</v>
      </c>
    </row>
    <row r="83" spans="2:14" x14ac:dyDescent="0.4">
      <c r="B83" s="6" t="s">
        <v>176</v>
      </c>
      <c r="C83" s="20" t="s">
        <v>177</v>
      </c>
      <c r="D83" s="17">
        <f>VLOOKUP(B83,BS!$A:$S,5,FALSE)</f>
        <v>121777520.04000001</v>
      </c>
      <c r="E83" s="17">
        <f>VLOOKUP(B83,BS!$A:$S,18,FALSE)</f>
        <v>102867753.98999999</v>
      </c>
      <c r="F83" s="18">
        <f t="shared" si="12"/>
        <v>-18909766.050000012</v>
      </c>
      <c r="G83" s="19">
        <f t="shared" si="13"/>
        <v>-0.15528125423960645</v>
      </c>
      <c r="I83" s="6" t="s">
        <v>572</v>
      </c>
      <c r="J83" s="20" t="s">
        <v>573</v>
      </c>
      <c r="K83" s="17">
        <f>VLOOKUP(I83,PL!$A:$S,4,FALSE)</f>
        <v>0</v>
      </c>
      <c r="L83" s="17">
        <f>VLOOKUP(I83,PL!$A:$S,18,FALSE)</f>
        <v>0</v>
      </c>
      <c r="M83" s="18">
        <f t="shared" si="14"/>
        <v>0</v>
      </c>
      <c r="N83" s="19">
        <f t="shared" si="15"/>
        <v>0</v>
      </c>
    </row>
    <row r="84" spans="2:14" x14ac:dyDescent="0.4">
      <c r="B84" s="6" t="s">
        <v>178</v>
      </c>
      <c r="C84" s="20" t="s">
        <v>179</v>
      </c>
      <c r="D84" s="17">
        <f>VLOOKUP(B84,BS!$A:$S,5,FALSE)</f>
        <v>-68170203.780000001</v>
      </c>
      <c r="E84" s="17">
        <f>VLOOKUP(B84,BS!$A:$S,18,FALSE)</f>
        <v>-58437062.060000002</v>
      </c>
      <c r="F84" s="18">
        <f t="shared" si="12"/>
        <v>9733141.7199999988</v>
      </c>
      <c r="G84" s="19">
        <f t="shared" si="13"/>
        <v>-0.14277706652324165</v>
      </c>
      <c r="I84" s="6" t="s">
        <v>574</v>
      </c>
      <c r="J84" s="20" t="s">
        <v>575</v>
      </c>
      <c r="K84" s="17">
        <f>VLOOKUP(I84,PL!$A:$S,4,FALSE)</f>
        <v>0</v>
      </c>
      <c r="L84" s="17">
        <f>VLOOKUP(I84,PL!$A:$S,18,FALSE)</f>
        <v>0</v>
      </c>
      <c r="M84" s="18">
        <f t="shared" si="14"/>
        <v>0</v>
      </c>
      <c r="N84" s="19">
        <f t="shared" si="15"/>
        <v>0</v>
      </c>
    </row>
    <row r="85" spans="2:14" x14ac:dyDescent="0.4">
      <c r="B85" s="6" t="s">
        <v>180</v>
      </c>
      <c r="C85" s="20" t="s">
        <v>181</v>
      </c>
      <c r="D85" s="17">
        <f>VLOOKUP(B85,BS!$A:$S,5,FALSE)</f>
        <v>0</v>
      </c>
      <c r="E85" s="17">
        <f>VLOOKUP(B85,BS!$A:$S,18,FALSE)</f>
        <v>0</v>
      </c>
      <c r="F85" s="18">
        <f t="shared" si="12"/>
        <v>0</v>
      </c>
      <c r="G85" s="19">
        <f t="shared" si="13"/>
        <v>0</v>
      </c>
      <c r="I85" s="6" t="s">
        <v>576</v>
      </c>
      <c r="J85" s="20" t="s">
        <v>577</v>
      </c>
      <c r="K85" s="17">
        <f>VLOOKUP(I85,PL!$A:$S,4,FALSE)</f>
        <v>0</v>
      </c>
      <c r="L85" s="17">
        <f>VLOOKUP(I85,PL!$A:$S,18,FALSE)</f>
        <v>0</v>
      </c>
      <c r="M85" s="18">
        <f t="shared" si="14"/>
        <v>0</v>
      </c>
      <c r="N85" s="19">
        <f t="shared" si="15"/>
        <v>0</v>
      </c>
    </row>
    <row r="86" spans="2:14" x14ac:dyDescent="0.4">
      <c r="B86" s="6" t="s">
        <v>182</v>
      </c>
      <c r="C86" s="20" t="s">
        <v>183</v>
      </c>
      <c r="D86" s="17">
        <f>VLOOKUP(B86,BS!$A:$S,5,FALSE)</f>
        <v>0</v>
      </c>
      <c r="E86" s="17">
        <f>VLOOKUP(B86,BS!$A:$S,18,FALSE)</f>
        <v>0</v>
      </c>
      <c r="F86" s="18">
        <f t="shared" si="12"/>
        <v>0</v>
      </c>
      <c r="G86" s="19">
        <f t="shared" si="13"/>
        <v>0</v>
      </c>
      <c r="I86" s="6" t="s">
        <v>578</v>
      </c>
      <c r="J86" s="20" t="s">
        <v>579</v>
      </c>
      <c r="K86" s="17">
        <f>VLOOKUP(I86,PL!$A:$S,4,FALSE)</f>
        <v>0</v>
      </c>
      <c r="L86" s="17">
        <f>VLOOKUP(I86,PL!$A:$S,18,FALSE)</f>
        <v>0</v>
      </c>
      <c r="M86" s="18">
        <f t="shared" si="14"/>
        <v>0</v>
      </c>
      <c r="N86" s="19">
        <f t="shared" si="15"/>
        <v>0</v>
      </c>
    </row>
    <row r="87" spans="2:14" x14ac:dyDescent="0.4">
      <c r="B87" s="6" t="s">
        <v>184</v>
      </c>
      <c r="C87" s="20" t="s">
        <v>185</v>
      </c>
      <c r="D87" s="17">
        <f>VLOOKUP(B87,BS!$A:$S,5,FALSE)</f>
        <v>0</v>
      </c>
      <c r="E87" s="17">
        <f>VLOOKUP(B87,BS!$A:$S,18,FALSE)</f>
        <v>0</v>
      </c>
      <c r="F87" s="18">
        <f t="shared" si="12"/>
        <v>0</v>
      </c>
      <c r="G87" s="19">
        <f t="shared" si="13"/>
        <v>0</v>
      </c>
      <c r="I87" s="6" t="s">
        <v>580</v>
      </c>
      <c r="J87" s="20" t="s">
        <v>581</v>
      </c>
      <c r="K87" s="17">
        <f>VLOOKUP(I87,PL!$A:$S,4,FALSE)</f>
        <v>0</v>
      </c>
      <c r="L87" s="17">
        <f>VLOOKUP(I87,PL!$A:$S,18,FALSE)</f>
        <v>0</v>
      </c>
      <c r="M87" s="18">
        <f t="shared" si="14"/>
        <v>0</v>
      </c>
      <c r="N87" s="19">
        <f t="shared" si="15"/>
        <v>0</v>
      </c>
    </row>
    <row r="88" spans="2:14" x14ac:dyDescent="0.4">
      <c r="B88" s="6" t="s">
        <v>186</v>
      </c>
      <c r="C88" s="20" t="s">
        <v>187</v>
      </c>
      <c r="D88" s="17">
        <f>VLOOKUP(B88,BS!$A:$S,5,FALSE)</f>
        <v>0</v>
      </c>
      <c r="E88" s="17">
        <f>VLOOKUP(B88,BS!$A:$S,18,FALSE)</f>
        <v>0</v>
      </c>
      <c r="F88" s="18">
        <f t="shared" si="12"/>
        <v>0</v>
      </c>
      <c r="G88" s="19">
        <f t="shared" si="13"/>
        <v>0</v>
      </c>
      <c r="I88" s="6" t="s">
        <v>582</v>
      </c>
      <c r="J88" s="20" t="s">
        <v>583</v>
      </c>
      <c r="K88" s="17">
        <f>VLOOKUP(I88,PL!$A:$S,4,FALSE)</f>
        <v>0</v>
      </c>
      <c r="L88" s="17">
        <f>VLOOKUP(I88,PL!$A:$S,18,FALSE)</f>
        <v>0</v>
      </c>
      <c r="M88" s="18">
        <f t="shared" si="14"/>
        <v>0</v>
      </c>
      <c r="N88" s="19">
        <f t="shared" si="15"/>
        <v>0</v>
      </c>
    </row>
    <row r="89" spans="2:14" x14ac:dyDescent="0.4">
      <c r="B89" s="6" t="s">
        <v>188</v>
      </c>
      <c r="C89" s="20" t="s">
        <v>189</v>
      </c>
      <c r="D89" s="17">
        <f>VLOOKUP(B89,BS!$A:$S,5,FALSE)</f>
        <v>0</v>
      </c>
      <c r="E89" s="17">
        <f>VLOOKUP(B89,BS!$A:$S,18,FALSE)</f>
        <v>0</v>
      </c>
      <c r="F89" s="18">
        <f t="shared" si="12"/>
        <v>0</v>
      </c>
      <c r="G89" s="19">
        <f t="shared" si="13"/>
        <v>0</v>
      </c>
      <c r="I89" s="6" t="s">
        <v>584</v>
      </c>
      <c r="J89" s="20" t="s">
        <v>585</v>
      </c>
      <c r="K89" s="17">
        <f>VLOOKUP(I89,PL!$A:$S,4,FALSE)</f>
        <v>0</v>
      </c>
      <c r="L89" s="17">
        <f>VLOOKUP(I89,PL!$A:$S,18,FALSE)</f>
        <v>0</v>
      </c>
      <c r="M89" s="18">
        <f t="shared" si="14"/>
        <v>0</v>
      </c>
      <c r="N89" s="19">
        <f t="shared" si="15"/>
        <v>0</v>
      </c>
    </row>
    <row r="90" spans="2:14" x14ac:dyDescent="0.4">
      <c r="B90" s="6" t="s">
        <v>190</v>
      </c>
      <c r="C90" s="20" t="s">
        <v>191</v>
      </c>
      <c r="D90" s="17">
        <f>VLOOKUP(B90,BS!$A:$S,5,FALSE)</f>
        <v>0</v>
      </c>
      <c r="E90" s="17">
        <f>VLOOKUP(B90,BS!$A:$S,18,FALSE)</f>
        <v>0</v>
      </c>
      <c r="F90" s="18">
        <f t="shared" si="12"/>
        <v>0</v>
      </c>
      <c r="G90" s="19">
        <f t="shared" si="13"/>
        <v>0</v>
      </c>
      <c r="I90" s="6" t="s">
        <v>586</v>
      </c>
      <c r="J90" s="20" t="s">
        <v>587</v>
      </c>
      <c r="K90" s="17">
        <f>VLOOKUP(I90,PL!$A:$S,4,FALSE)</f>
        <v>0</v>
      </c>
      <c r="L90" s="17">
        <f>VLOOKUP(I90,PL!$A:$S,18,FALSE)</f>
        <v>0</v>
      </c>
      <c r="M90" s="18">
        <f t="shared" si="14"/>
        <v>0</v>
      </c>
      <c r="N90" s="19">
        <f t="shared" si="15"/>
        <v>0</v>
      </c>
    </row>
    <row r="91" spans="2:14" x14ac:dyDescent="0.4">
      <c r="B91" s="6" t="s">
        <v>192</v>
      </c>
      <c r="C91" s="20" t="s">
        <v>193</v>
      </c>
      <c r="D91" s="17">
        <f>VLOOKUP(B91,BS!$A:$S,5,FALSE)</f>
        <v>0</v>
      </c>
      <c r="E91" s="17">
        <f>VLOOKUP(B91,BS!$A:$S,18,FALSE)</f>
        <v>0</v>
      </c>
      <c r="F91" s="18">
        <f t="shared" si="12"/>
        <v>0</v>
      </c>
      <c r="G91" s="19">
        <f t="shared" si="13"/>
        <v>0</v>
      </c>
      <c r="I91" s="6" t="s">
        <v>588</v>
      </c>
      <c r="J91" s="20" t="s">
        <v>589</v>
      </c>
      <c r="K91" s="17">
        <f>VLOOKUP(I91,PL!$A:$S,4,FALSE)</f>
        <v>0</v>
      </c>
      <c r="L91" s="17">
        <f>VLOOKUP(I91,PL!$A:$S,18,FALSE)</f>
        <v>0</v>
      </c>
      <c r="M91" s="18">
        <f t="shared" si="14"/>
        <v>0</v>
      </c>
      <c r="N91" s="19">
        <f t="shared" si="15"/>
        <v>0</v>
      </c>
    </row>
    <row r="92" spans="2:14" x14ac:dyDescent="0.4">
      <c r="B92" s="6" t="s">
        <v>194</v>
      </c>
      <c r="C92" s="20" t="s">
        <v>195</v>
      </c>
      <c r="D92" s="17">
        <f>VLOOKUP(B92,BS!$A:$S,5,FALSE)</f>
        <v>0</v>
      </c>
      <c r="E92" s="17">
        <f>VLOOKUP(B92,BS!$A:$S,18,FALSE)</f>
        <v>0</v>
      </c>
      <c r="F92" s="18">
        <f t="shared" si="12"/>
        <v>0</v>
      </c>
      <c r="G92" s="19">
        <f t="shared" si="13"/>
        <v>0</v>
      </c>
      <c r="I92" s="6" t="s">
        <v>590</v>
      </c>
      <c r="J92" s="20" t="s">
        <v>591</v>
      </c>
      <c r="K92" s="17">
        <f>VLOOKUP(I92,PL!$A:$S,4,FALSE)</f>
        <v>0</v>
      </c>
      <c r="L92" s="17">
        <f>VLOOKUP(I92,PL!$A:$S,18,FALSE)</f>
        <v>0</v>
      </c>
      <c r="M92" s="18">
        <f t="shared" si="14"/>
        <v>0</v>
      </c>
      <c r="N92" s="19">
        <f t="shared" si="15"/>
        <v>0</v>
      </c>
    </row>
    <row r="93" spans="2:14" x14ac:dyDescent="0.4">
      <c r="B93" s="6" t="s">
        <v>196</v>
      </c>
      <c r="C93" s="20" t="s">
        <v>197</v>
      </c>
      <c r="D93" s="17">
        <f>VLOOKUP(B93,BS!$A:$S,5,FALSE)</f>
        <v>0</v>
      </c>
      <c r="E93" s="17">
        <f>VLOOKUP(B93,BS!$A:$S,18,FALSE)</f>
        <v>0</v>
      </c>
      <c r="F93" s="18">
        <f t="shared" si="12"/>
        <v>0</v>
      </c>
      <c r="G93" s="19">
        <f t="shared" si="13"/>
        <v>0</v>
      </c>
      <c r="I93" s="6" t="s">
        <v>592</v>
      </c>
      <c r="J93" s="20" t="s">
        <v>593</v>
      </c>
      <c r="K93" s="17">
        <f>VLOOKUP(I93,PL!$A:$S,4,FALSE)</f>
        <v>0</v>
      </c>
      <c r="L93" s="17">
        <f>VLOOKUP(I93,PL!$A:$S,18,FALSE)</f>
        <v>0</v>
      </c>
      <c r="M93" s="18">
        <f t="shared" si="14"/>
        <v>0</v>
      </c>
      <c r="N93" s="19">
        <f t="shared" si="15"/>
        <v>0</v>
      </c>
    </row>
    <row r="94" spans="2:14" x14ac:dyDescent="0.4">
      <c r="B94" s="6" t="s">
        <v>198</v>
      </c>
      <c r="C94" s="20" t="s">
        <v>199</v>
      </c>
      <c r="D94" s="17">
        <f>VLOOKUP(B94,BS!$A:$S,5,FALSE)</f>
        <v>0</v>
      </c>
      <c r="E94" s="17">
        <f>VLOOKUP(B94,BS!$A:$S,18,FALSE)</f>
        <v>0</v>
      </c>
      <c r="F94" s="18">
        <f t="shared" si="12"/>
        <v>0</v>
      </c>
      <c r="G94" s="19">
        <f t="shared" si="13"/>
        <v>0</v>
      </c>
      <c r="I94" s="6" t="s">
        <v>594</v>
      </c>
      <c r="J94" s="20" t="s">
        <v>595</v>
      </c>
      <c r="K94" s="17">
        <f>VLOOKUP(I94,PL!$A:$S,4,FALSE)</f>
        <v>0</v>
      </c>
      <c r="L94" s="17">
        <f>VLOOKUP(I94,PL!$A:$S,18,FALSE)</f>
        <v>0</v>
      </c>
      <c r="M94" s="18">
        <f t="shared" si="14"/>
        <v>0</v>
      </c>
      <c r="N94" s="19">
        <f t="shared" si="15"/>
        <v>0</v>
      </c>
    </row>
    <row r="95" spans="2:14" x14ac:dyDescent="0.4">
      <c r="B95" s="6" t="s">
        <v>200</v>
      </c>
      <c r="C95" s="20" t="s">
        <v>201</v>
      </c>
      <c r="D95" s="17">
        <f>VLOOKUP(B95,BS!$A:$S,5,FALSE)</f>
        <v>0</v>
      </c>
      <c r="E95" s="17">
        <f>VLOOKUP(B95,BS!$A:$S,18,FALSE)</f>
        <v>0</v>
      </c>
      <c r="F95" s="18">
        <f t="shared" si="12"/>
        <v>0</v>
      </c>
      <c r="G95" s="19">
        <f t="shared" si="13"/>
        <v>0</v>
      </c>
      <c r="I95" s="6" t="s">
        <v>596</v>
      </c>
      <c r="J95" s="20" t="s">
        <v>597</v>
      </c>
      <c r="K95" s="17">
        <f>VLOOKUP(I95,PL!$A:$S,4,FALSE)</f>
        <v>0</v>
      </c>
      <c r="L95" s="17">
        <f>VLOOKUP(I95,PL!$A:$S,18,FALSE)</f>
        <v>0</v>
      </c>
      <c r="M95" s="18">
        <f t="shared" si="14"/>
        <v>0</v>
      </c>
      <c r="N95" s="19">
        <f t="shared" si="15"/>
        <v>0</v>
      </c>
    </row>
    <row r="96" spans="2:14" x14ac:dyDescent="0.4">
      <c r="B96" s="6" t="s">
        <v>202</v>
      </c>
      <c r="C96" s="20" t="s">
        <v>203</v>
      </c>
      <c r="D96" s="17">
        <f>VLOOKUP(B96,BS!$A:$S,5,FALSE)</f>
        <v>0</v>
      </c>
      <c r="E96" s="17">
        <f>VLOOKUP(B96,BS!$A:$S,18,FALSE)</f>
        <v>0</v>
      </c>
      <c r="F96" s="18">
        <f t="shared" si="12"/>
        <v>0</v>
      </c>
      <c r="G96" s="19">
        <f t="shared" si="13"/>
        <v>0</v>
      </c>
      <c r="I96" s="6" t="s">
        <v>598</v>
      </c>
      <c r="J96" s="20" t="s">
        <v>599</v>
      </c>
      <c r="K96" s="17">
        <f>VLOOKUP(I96,PL!$A:$S,4,FALSE)</f>
        <v>0</v>
      </c>
      <c r="L96" s="17">
        <f>VLOOKUP(I96,PL!$A:$S,18,FALSE)</f>
        <v>0</v>
      </c>
      <c r="M96" s="18">
        <f t="shared" si="14"/>
        <v>0</v>
      </c>
      <c r="N96" s="19">
        <f t="shared" si="15"/>
        <v>0</v>
      </c>
    </row>
    <row r="97" spans="2:15" x14ac:dyDescent="0.4">
      <c r="B97" s="6" t="s">
        <v>204</v>
      </c>
      <c r="C97" s="20" t="s">
        <v>205</v>
      </c>
      <c r="D97" s="17">
        <f>VLOOKUP(B97,BS!$A:$S,5,FALSE)</f>
        <v>0</v>
      </c>
      <c r="E97" s="17">
        <f>VLOOKUP(B97,BS!$A:$S,18,FALSE)</f>
        <v>0</v>
      </c>
      <c r="F97" s="18">
        <f t="shared" si="12"/>
        <v>0</v>
      </c>
      <c r="G97" s="19">
        <f t="shared" si="13"/>
        <v>0</v>
      </c>
      <c r="I97" s="6" t="s">
        <v>600</v>
      </c>
      <c r="J97" s="20" t="s">
        <v>601</v>
      </c>
      <c r="K97" s="17">
        <f>VLOOKUP(I97,PL!$A:$S,4,FALSE)</f>
        <v>0</v>
      </c>
      <c r="L97" s="17">
        <f>VLOOKUP(I97,PL!$A:$S,18,FALSE)</f>
        <v>0</v>
      </c>
      <c r="M97" s="18">
        <f t="shared" si="14"/>
        <v>0</v>
      </c>
      <c r="N97" s="19">
        <f t="shared" si="15"/>
        <v>0</v>
      </c>
    </row>
    <row r="98" spans="2:15" x14ac:dyDescent="0.4">
      <c r="B98" s="6" t="s">
        <v>206</v>
      </c>
      <c r="C98" s="20" t="s">
        <v>207</v>
      </c>
      <c r="D98" s="17">
        <f>VLOOKUP(B98,BS!$A:$S,5,FALSE)</f>
        <v>0</v>
      </c>
      <c r="E98" s="17">
        <f>VLOOKUP(B98,BS!$A:$S,18,FALSE)</f>
        <v>0</v>
      </c>
      <c r="F98" s="18">
        <f t="shared" si="12"/>
        <v>0</v>
      </c>
      <c r="G98" s="19">
        <f t="shared" si="13"/>
        <v>0</v>
      </c>
      <c r="I98" s="6" t="s">
        <v>602</v>
      </c>
      <c r="J98" s="20" t="s">
        <v>603</v>
      </c>
      <c r="K98" s="17">
        <f>VLOOKUP(I98,PL!$A:$S,4,FALSE)</f>
        <v>0</v>
      </c>
      <c r="L98" s="17">
        <f>VLOOKUP(I98,PL!$A:$S,18,FALSE)</f>
        <v>0</v>
      </c>
      <c r="M98" s="18">
        <f t="shared" si="14"/>
        <v>0</v>
      </c>
      <c r="N98" s="19">
        <f t="shared" si="15"/>
        <v>0</v>
      </c>
    </row>
    <row r="99" spans="2:15" x14ac:dyDescent="0.4">
      <c r="B99" s="6" t="s">
        <v>208</v>
      </c>
      <c r="C99" s="20" t="s">
        <v>209</v>
      </c>
      <c r="D99" s="17">
        <f>VLOOKUP(B99,BS!$A:$S,5,FALSE)</f>
        <v>0</v>
      </c>
      <c r="E99" s="17">
        <f>VLOOKUP(B99,BS!$A:$S,18,FALSE)</f>
        <v>0</v>
      </c>
      <c r="F99" s="18">
        <f t="shared" si="12"/>
        <v>0</v>
      </c>
      <c r="G99" s="19">
        <f t="shared" si="13"/>
        <v>0</v>
      </c>
      <c r="I99" s="6" t="s">
        <v>604</v>
      </c>
      <c r="J99" s="20" t="s">
        <v>605</v>
      </c>
      <c r="K99" s="17">
        <f>VLOOKUP(I99,PL!$A:$S,4,FALSE)</f>
        <v>0</v>
      </c>
      <c r="L99" s="17">
        <f>VLOOKUP(I99,PL!$A:$S,18,FALSE)</f>
        <v>0</v>
      </c>
      <c r="M99" s="18">
        <f t="shared" si="14"/>
        <v>0</v>
      </c>
      <c r="N99" s="19">
        <f t="shared" si="15"/>
        <v>0</v>
      </c>
    </row>
    <row r="100" spans="2:15" x14ac:dyDescent="0.4">
      <c r="B100" s="15" t="s">
        <v>210</v>
      </c>
      <c r="C100" s="16" t="s">
        <v>211</v>
      </c>
      <c r="D100" s="17">
        <f>VLOOKUP(B100,BS!$A:$S,5,FALSE)</f>
        <v>6131995.7999999998</v>
      </c>
      <c r="E100" s="17">
        <f>VLOOKUP(B100,BS!$A:$S,18,FALSE)</f>
        <v>6065628.0300000003</v>
      </c>
      <c r="F100" s="18">
        <f t="shared" si="12"/>
        <v>-66367.769999999553</v>
      </c>
      <c r="G100" s="19">
        <f t="shared" si="13"/>
        <v>-1.0823192344652219E-2</v>
      </c>
      <c r="I100" s="6" t="s">
        <v>606</v>
      </c>
      <c r="J100" s="20" t="s">
        <v>607</v>
      </c>
      <c r="K100" s="17">
        <f>VLOOKUP(I100,PL!$A:$S,4,FALSE)</f>
        <v>0</v>
      </c>
      <c r="L100" s="17">
        <f>VLOOKUP(I100,PL!$A:$S,18,FALSE)</f>
        <v>0</v>
      </c>
      <c r="M100" s="18">
        <f t="shared" si="14"/>
        <v>0</v>
      </c>
      <c r="N100" s="19">
        <f t="shared" si="15"/>
        <v>0</v>
      </c>
    </row>
    <row r="101" spans="2:15" x14ac:dyDescent="0.4">
      <c r="B101" s="6" t="s">
        <v>212</v>
      </c>
      <c r="C101" s="20" t="s">
        <v>213</v>
      </c>
      <c r="D101" s="17">
        <f>VLOOKUP(B101,BS!$A:$S,5,FALSE)</f>
        <v>0</v>
      </c>
      <c r="E101" s="17">
        <f>VLOOKUP(B101,BS!$A:$S,18,FALSE)</f>
        <v>0</v>
      </c>
      <c r="F101" s="18">
        <f t="shared" si="12"/>
        <v>0</v>
      </c>
      <c r="G101" s="19">
        <f t="shared" si="13"/>
        <v>0</v>
      </c>
      <c r="I101" s="6" t="s">
        <v>608</v>
      </c>
      <c r="J101" s="20" t="s">
        <v>609</v>
      </c>
      <c r="K101" s="17">
        <f>VLOOKUP(I101,PL!$A:$S,4,FALSE)</f>
        <v>0</v>
      </c>
      <c r="L101" s="17">
        <f>VLOOKUP(I101,PL!$A:$S,18,FALSE)</f>
        <v>0</v>
      </c>
      <c r="M101" s="18">
        <f t="shared" si="14"/>
        <v>0</v>
      </c>
      <c r="N101" s="19">
        <f t="shared" si="15"/>
        <v>0</v>
      </c>
    </row>
    <row r="102" spans="2:15" x14ac:dyDescent="0.4">
      <c r="B102" s="6" t="s">
        <v>214</v>
      </c>
      <c r="C102" s="20" t="s">
        <v>215</v>
      </c>
      <c r="D102" s="17">
        <f>VLOOKUP(B102,BS!$A:$S,5,FALSE)</f>
        <v>0</v>
      </c>
      <c r="E102" s="17">
        <f>VLOOKUP(B102,BS!$A:$S,18,FALSE)</f>
        <v>0</v>
      </c>
      <c r="F102" s="18">
        <f t="shared" si="12"/>
        <v>0</v>
      </c>
      <c r="G102" s="19">
        <f t="shared" si="13"/>
        <v>0</v>
      </c>
      <c r="I102" s="6" t="s">
        <v>610</v>
      </c>
      <c r="J102" s="20" t="s">
        <v>611</v>
      </c>
      <c r="K102" s="17">
        <f>VLOOKUP(I102,PL!$A:$S,4,FALSE)</f>
        <v>0</v>
      </c>
      <c r="L102" s="17">
        <f>VLOOKUP(I102,PL!$A:$S,18,FALSE)</f>
        <v>0</v>
      </c>
      <c r="M102" s="18">
        <f t="shared" si="14"/>
        <v>0</v>
      </c>
      <c r="N102" s="19">
        <f t="shared" si="15"/>
        <v>0</v>
      </c>
    </row>
    <row r="103" spans="2:15" x14ac:dyDescent="0.4">
      <c r="B103" s="6" t="s">
        <v>216</v>
      </c>
      <c r="C103" s="20" t="s">
        <v>217</v>
      </c>
      <c r="D103" s="17">
        <f>VLOOKUP(B103,BS!$A:$S,5,FALSE)</f>
        <v>0</v>
      </c>
      <c r="E103" s="17">
        <f>VLOOKUP(B103,BS!$A:$S,18,FALSE)</f>
        <v>0</v>
      </c>
      <c r="F103" s="18">
        <f t="shared" si="12"/>
        <v>0</v>
      </c>
      <c r="G103" s="19">
        <f t="shared" si="13"/>
        <v>0</v>
      </c>
      <c r="I103" s="6" t="s">
        <v>612</v>
      </c>
      <c r="J103" s="20" t="s">
        <v>613</v>
      </c>
      <c r="K103" s="17">
        <f>VLOOKUP(I103,PL!$A:$S,4,FALSE)</f>
        <v>0</v>
      </c>
      <c r="L103" s="17">
        <f>VLOOKUP(I103,PL!$A:$S,18,FALSE)</f>
        <v>0</v>
      </c>
      <c r="M103" s="18">
        <f t="shared" si="14"/>
        <v>0</v>
      </c>
      <c r="N103" s="19">
        <f t="shared" si="15"/>
        <v>0</v>
      </c>
    </row>
    <row r="104" spans="2:15" x14ac:dyDescent="0.4">
      <c r="B104" s="6" t="s">
        <v>218</v>
      </c>
      <c r="C104" s="20" t="s">
        <v>219</v>
      </c>
      <c r="D104" s="17">
        <f>VLOOKUP(B104,BS!$A:$S,5,FALSE)</f>
        <v>0</v>
      </c>
      <c r="E104" s="17">
        <f>VLOOKUP(B104,BS!$A:$S,18,FALSE)</f>
        <v>0</v>
      </c>
      <c r="F104" s="18">
        <f t="shared" si="12"/>
        <v>0</v>
      </c>
      <c r="G104" s="19">
        <f t="shared" si="13"/>
        <v>0</v>
      </c>
      <c r="I104" s="6" t="s">
        <v>614</v>
      </c>
      <c r="J104" s="20" t="s">
        <v>615</v>
      </c>
      <c r="K104" s="17">
        <f>VLOOKUP(I104,PL!$A:$S,4,FALSE)</f>
        <v>0</v>
      </c>
      <c r="L104" s="17">
        <f>VLOOKUP(I104,PL!$A:$S,18,FALSE)</f>
        <v>0</v>
      </c>
      <c r="M104" s="18">
        <f t="shared" ref="M104:M135" si="18">L104-K104</f>
        <v>0</v>
      </c>
      <c r="N104" s="19">
        <f t="shared" ref="N104:N135" si="19">IFERROR(M104/K104,0)</f>
        <v>0</v>
      </c>
    </row>
    <row r="105" spans="2:15" x14ac:dyDescent="0.4">
      <c r="B105" s="6" t="s">
        <v>220</v>
      </c>
      <c r="C105" s="20" t="s">
        <v>221</v>
      </c>
      <c r="D105" s="17">
        <f>VLOOKUP(B105,BS!$A:$S,5,FALSE)</f>
        <v>6131995.7999999998</v>
      </c>
      <c r="E105" s="17">
        <f>VLOOKUP(B105,BS!$A:$S,18,FALSE)</f>
        <v>6065628.0300000003</v>
      </c>
      <c r="F105" s="18">
        <f t="shared" si="12"/>
        <v>-66367.769999999553</v>
      </c>
      <c r="G105" s="19">
        <f t="shared" si="13"/>
        <v>-1.0823192344652219E-2</v>
      </c>
      <c r="I105" s="6" t="s">
        <v>616</v>
      </c>
      <c r="J105" s="20" t="s">
        <v>617</v>
      </c>
      <c r="K105" s="17">
        <f>VLOOKUP(I105,PL!$A:$S,4,FALSE)</f>
        <v>0</v>
      </c>
      <c r="L105" s="17">
        <f>VLOOKUP(I105,PL!$A:$S,18,FALSE)</f>
        <v>0</v>
      </c>
      <c r="M105" s="18">
        <f t="shared" si="18"/>
        <v>0</v>
      </c>
      <c r="N105" s="19">
        <f t="shared" si="19"/>
        <v>0</v>
      </c>
    </row>
    <row r="106" spans="2:15" x14ac:dyDescent="0.4">
      <c r="B106" s="6" t="s">
        <v>222</v>
      </c>
      <c r="C106" s="20" t="s">
        <v>223</v>
      </c>
      <c r="D106" s="17">
        <f>VLOOKUP(B106,BS!$A:$S,5,FALSE)</f>
        <v>0</v>
      </c>
      <c r="E106" s="17">
        <f>VLOOKUP(B106,BS!$A:$S,18,FALSE)</f>
        <v>0</v>
      </c>
      <c r="F106" s="18">
        <f t="shared" si="12"/>
        <v>0</v>
      </c>
      <c r="G106" s="19">
        <f t="shared" si="13"/>
        <v>0</v>
      </c>
      <c r="I106" s="6" t="s">
        <v>618</v>
      </c>
      <c r="J106" s="20" t="s">
        <v>619</v>
      </c>
      <c r="K106" s="17">
        <f>VLOOKUP(I106,PL!$A:$S,4,FALSE)</f>
        <v>0</v>
      </c>
      <c r="L106" s="17">
        <f>VLOOKUP(I106,PL!$A:$S,18,FALSE)</f>
        <v>0</v>
      </c>
      <c r="M106" s="18">
        <f t="shared" si="18"/>
        <v>0</v>
      </c>
      <c r="N106" s="19">
        <f t="shared" si="19"/>
        <v>0</v>
      </c>
    </row>
    <row r="107" spans="2:15" x14ac:dyDescent="0.4">
      <c r="B107" s="15" t="s">
        <v>224</v>
      </c>
      <c r="C107" s="16" t="s">
        <v>225</v>
      </c>
      <c r="D107" s="17">
        <f>VLOOKUP(B107,BS!$A:$S,5,FALSE)</f>
        <v>15079680</v>
      </c>
      <c r="E107" s="17">
        <f>VLOOKUP(B107,BS!$A:$S,18,FALSE)</f>
        <v>15530552</v>
      </c>
      <c r="F107" s="18">
        <f t="shared" si="12"/>
        <v>450872</v>
      </c>
      <c r="G107" s="19">
        <f t="shared" si="13"/>
        <v>2.9899308208131737E-2</v>
      </c>
      <c r="I107" s="6" t="s">
        <v>620</v>
      </c>
      <c r="J107" s="20" t="s">
        <v>621</v>
      </c>
      <c r="K107" s="17">
        <f>VLOOKUP(I107,PL!$A:$S,4,FALSE)</f>
        <v>1521049.6000000001</v>
      </c>
      <c r="L107" s="17">
        <f>VLOOKUP(I107,PL!$A:$S,18,FALSE)</f>
        <v>5298304.68</v>
      </c>
      <c r="M107" s="18">
        <f t="shared" si="18"/>
        <v>3777255.0799999996</v>
      </c>
      <c r="N107" s="19">
        <f t="shared" si="19"/>
        <v>2.4833214380385749</v>
      </c>
    </row>
    <row r="108" spans="2:15" x14ac:dyDescent="0.4">
      <c r="B108" s="6" t="s">
        <v>226</v>
      </c>
      <c r="C108" s="20" t="s">
        <v>227</v>
      </c>
      <c r="D108" s="17">
        <f>VLOOKUP(B108,BS!$A:$S,5,FALSE)</f>
        <v>0</v>
      </c>
      <c r="E108" s="17">
        <f>VLOOKUP(B108,BS!$A:$S,18,FALSE)</f>
        <v>0</v>
      </c>
      <c r="F108" s="18">
        <f t="shared" si="12"/>
        <v>0</v>
      </c>
      <c r="G108" s="19">
        <f t="shared" si="13"/>
        <v>0</v>
      </c>
      <c r="I108" s="6" t="s">
        <v>622</v>
      </c>
      <c r="J108" s="20" t="s">
        <v>623</v>
      </c>
      <c r="K108" s="17">
        <f>VLOOKUP(I108,PL!$A:$S,4,FALSE)</f>
        <v>0</v>
      </c>
      <c r="L108" s="17">
        <f>VLOOKUP(I108,PL!$A:$S,18,FALSE)</f>
        <v>0</v>
      </c>
      <c r="M108" s="18">
        <f t="shared" si="18"/>
        <v>0</v>
      </c>
      <c r="N108" s="19">
        <f t="shared" si="19"/>
        <v>0</v>
      </c>
      <c r="O108" s="30"/>
    </row>
    <row r="109" spans="2:15" x14ac:dyDescent="0.4">
      <c r="B109" s="6" t="s">
        <v>228</v>
      </c>
      <c r="C109" s="20" t="s">
        <v>229</v>
      </c>
      <c r="D109" s="17">
        <f>VLOOKUP(B109,BS!$A:$S,5,FALSE)</f>
        <v>0</v>
      </c>
      <c r="E109" s="17">
        <f>VLOOKUP(B109,BS!$A:$S,18,FALSE)</f>
        <v>0</v>
      </c>
      <c r="F109" s="18">
        <f t="shared" si="12"/>
        <v>0</v>
      </c>
      <c r="G109" s="19">
        <f t="shared" si="13"/>
        <v>0</v>
      </c>
      <c r="I109" s="6" t="s">
        <v>624</v>
      </c>
      <c r="J109" s="20" t="s">
        <v>355</v>
      </c>
      <c r="K109" s="17">
        <f>VLOOKUP(I109,PL!$A:$S,4,FALSE)</f>
        <v>0</v>
      </c>
      <c r="L109" s="17">
        <f>VLOOKUP(I109,PL!$A:$S,18,FALSE)</f>
        <v>0</v>
      </c>
      <c r="M109" s="18">
        <f t="shared" si="18"/>
        <v>0</v>
      </c>
      <c r="N109" s="19">
        <f t="shared" si="19"/>
        <v>0</v>
      </c>
    </row>
    <row r="110" spans="2:15" x14ac:dyDescent="0.4">
      <c r="B110" s="6" t="s">
        <v>230</v>
      </c>
      <c r="C110" s="20" t="s">
        <v>231</v>
      </c>
      <c r="D110" s="17">
        <f>VLOOKUP(B110,BS!$A:$S,5,FALSE)</f>
        <v>0</v>
      </c>
      <c r="E110" s="17">
        <f>VLOOKUP(B110,BS!$A:$S,18,FALSE)</f>
        <v>0</v>
      </c>
      <c r="F110" s="18">
        <f t="shared" si="12"/>
        <v>0</v>
      </c>
      <c r="G110" s="19">
        <f t="shared" si="13"/>
        <v>0</v>
      </c>
      <c r="I110" s="6" t="s">
        <v>625</v>
      </c>
      <c r="J110" s="20" t="s">
        <v>626</v>
      </c>
      <c r="K110" s="17">
        <f>VLOOKUP(I110,PL!$A:$S,4,FALSE)</f>
        <v>0</v>
      </c>
      <c r="L110" s="17">
        <f>VLOOKUP(I110,PL!$A:$S,18,FALSE)</f>
        <v>0</v>
      </c>
      <c r="M110" s="18">
        <f t="shared" si="18"/>
        <v>0</v>
      </c>
      <c r="N110" s="19">
        <f t="shared" si="19"/>
        <v>0</v>
      </c>
    </row>
    <row r="111" spans="2:15" x14ac:dyDescent="0.4">
      <c r="B111" s="6" t="s">
        <v>232</v>
      </c>
      <c r="C111" s="20" t="s">
        <v>233</v>
      </c>
      <c r="D111" s="17">
        <f>VLOOKUP(B111,BS!$A:$S,5,FALSE)</f>
        <v>15079680</v>
      </c>
      <c r="E111" s="17">
        <f>VLOOKUP(B111,BS!$A:$S,18,FALSE)</f>
        <v>15530552</v>
      </c>
      <c r="F111" s="18">
        <f t="shared" si="12"/>
        <v>450872</v>
      </c>
      <c r="G111" s="19">
        <f t="shared" si="13"/>
        <v>2.9899308208131737E-2</v>
      </c>
      <c r="I111" s="15" t="s">
        <v>627</v>
      </c>
      <c r="J111" s="16" t="s">
        <v>628</v>
      </c>
      <c r="K111" s="17">
        <f>VLOOKUP(I111,PL!$A:$S,4,FALSE)</f>
        <v>246114365.75</v>
      </c>
      <c r="L111" s="17">
        <f>VLOOKUP(I111,PL!$A:$S,18,FALSE)</f>
        <v>89101559.219999999</v>
      </c>
      <c r="M111" s="18">
        <f t="shared" si="18"/>
        <v>-157012806.53</v>
      </c>
      <c r="N111" s="19">
        <f t="shared" si="19"/>
        <v>-0.63796684948286075</v>
      </c>
    </row>
    <row r="112" spans="2:15" x14ac:dyDescent="0.4">
      <c r="B112" s="6" t="s">
        <v>234</v>
      </c>
      <c r="C112" s="20" t="s">
        <v>235</v>
      </c>
      <c r="D112" s="17">
        <f>VLOOKUP(B112,BS!$A:$S,5,FALSE)</f>
        <v>0</v>
      </c>
      <c r="E112" s="17">
        <f>VLOOKUP(B112,BS!$A:$S,18,FALSE)</f>
        <v>0</v>
      </c>
      <c r="F112" s="18">
        <f t="shared" si="12"/>
        <v>0</v>
      </c>
      <c r="G112" s="19">
        <f t="shared" si="13"/>
        <v>0</v>
      </c>
      <c r="I112" s="6" t="s">
        <v>629</v>
      </c>
      <c r="J112" s="20" t="s">
        <v>630</v>
      </c>
      <c r="K112" s="17">
        <f>VLOOKUP(I112,PL!$A:$S,4,FALSE)</f>
        <v>0</v>
      </c>
      <c r="L112" s="17">
        <f>VLOOKUP(I112,PL!$A:$S,18,FALSE)</f>
        <v>0</v>
      </c>
      <c r="M112" s="18">
        <f t="shared" si="18"/>
        <v>0</v>
      </c>
      <c r="N112" s="19">
        <f t="shared" si="19"/>
        <v>0</v>
      </c>
    </row>
    <row r="113" spans="2:14" x14ac:dyDescent="0.4">
      <c r="B113" s="15" t="s">
        <v>236</v>
      </c>
      <c r="C113" s="16" t="s">
        <v>237</v>
      </c>
      <c r="D113" s="17">
        <f>VLOOKUP(B113,BS!$A:$S,5,FALSE)</f>
        <v>3853740076.3899999</v>
      </c>
      <c r="E113" s="17">
        <f>VLOOKUP(B113,BS!$A:$S,18,FALSE)</f>
        <v>3621817148.8899999</v>
      </c>
      <c r="F113" s="18">
        <f t="shared" si="12"/>
        <v>-231922927.5</v>
      </c>
      <c r="G113" s="19">
        <f t="shared" si="13"/>
        <v>-6.0181258440567778E-2</v>
      </c>
      <c r="I113" s="6" t="s">
        <v>631</v>
      </c>
      <c r="J113" s="20" t="s">
        <v>632</v>
      </c>
      <c r="K113" s="17">
        <f>VLOOKUP(I113,PL!$A:$S,4,FALSE)</f>
        <v>0</v>
      </c>
      <c r="L113" s="17">
        <f>VLOOKUP(I113,PL!$A:$S,18,FALSE)</f>
        <v>0</v>
      </c>
      <c r="M113" s="18">
        <f t="shared" si="18"/>
        <v>0</v>
      </c>
      <c r="N113" s="19">
        <f t="shared" si="19"/>
        <v>0</v>
      </c>
    </row>
    <row r="114" spans="2:14" x14ac:dyDescent="0.4">
      <c r="B114" s="15" t="s">
        <v>238</v>
      </c>
      <c r="C114" s="16" t="s">
        <v>239</v>
      </c>
      <c r="D114" s="17">
        <f>VLOOKUP(B114,BS!$A:$S,5,FALSE)</f>
        <v>3853740076.3899999</v>
      </c>
      <c r="E114" s="17">
        <f>VLOOKUP(B114,BS!$A:$S,18,FALSE)</f>
        <v>3621817148.8899999</v>
      </c>
      <c r="F114" s="18">
        <f t="shared" si="12"/>
        <v>-231922927.5</v>
      </c>
      <c r="G114" s="19">
        <f t="shared" si="13"/>
        <v>-6.0181258440567778E-2</v>
      </c>
      <c r="I114" s="6" t="s">
        <v>633</v>
      </c>
      <c r="J114" s="20" t="s">
        <v>634</v>
      </c>
      <c r="K114" s="17">
        <f>VLOOKUP(I114,PL!$A:$S,4,FALSE)</f>
        <v>1590730.91</v>
      </c>
      <c r="L114" s="17">
        <f>VLOOKUP(I114,PL!$A:$S,18,FALSE)</f>
        <v>2573976.15</v>
      </c>
      <c r="M114" s="18">
        <f t="shared" si="18"/>
        <v>983245.24</v>
      </c>
      <c r="N114" s="19">
        <f t="shared" si="19"/>
        <v>0.61810909300806893</v>
      </c>
    </row>
    <row r="115" spans="2:14" x14ac:dyDescent="0.4">
      <c r="B115" s="6" t="s">
        <v>240</v>
      </c>
      <c r="C115" s="20" t="s">
        <v>241</v>
      </c>
      <c r="D115" s="17">
        <f>VLOOKUP(B115,BS!$A:$S,5,FALSE)</f>
        <v>3109792715.2199998</v>
      </c>
      <c r="E115" s="17">
        <f>VLOOKUP(B115,BS!$A:$S,18,FALSE)</f>
        <v>2928861217.1399999</v>
      </c>
      <c r="F115" s="18">
        <f t="shared" si="12"/>
        <v>-180931498.07999992</v>
      </c>
      <c r="G115" s="19">
        <f t="shared" si="13"/>
        <v>-5.8181208411249387E-2</v>
      </c>
      <c r="I115" s="6" t="s">
        <v>635</v>
      </c>
      <c r="J115" s="20" t="s">
        <v>636</v>
      </c>
      <c r="K115" s="17">
        <f>VLOOKUP(I115,PL!$A:$S,4,FALSE)</f>
        <v>244240524.00999999</v>
      </c>
      <c r="L115" s="17">
        <f>VLOOKUP(I115,PL!$A:$S,18,FALSE)</f>
        <v>82827880.519999996</v>
      </c>
      <c r="M115" s="18">
        <f t="shared" si="18"/>
        <v>-161412643.49000001</v>
      </c>
      <c r="N115" s="19">
        <f t="shared" si="19"/>
        <v>-0.66087576639571599</v>
      </c>
    </row>
    <row r="116" spans="2:14" x14ac:dyDescent="0.4">
      <c r="B116" s="6" t="s">
        <v>242</v>
      </c>
      <c r="C116" s="20" t="s">
        <v>243</v>
      </c>
      <c r="D116" s="17">
        <f>VLOOKUP(B116,BS!$A:$S,5,FALSE)</f>
        <v>0</v>
      </c>
      <c r="E116" s="17">
        <f>VLOOKUP(B116,BS!$A:$S,18,FALSE)</f>
        <v>0</v>
      </c>
      <c r="F116" s="18">
        <f t="shared" si="12"/>
        <v>0</v>
      </c>
      <c r="G116" s="19">
        <f t="shared" si="13"/>
        <v>0</v>
      </c>
      <c r="I116" s="6" t="s">
        <v>637</v>
      </c>
      <c r="J116" s="20" t="s">
        <v>638</v>
      </c>
      <c r="K116" s="17">
        <f>VLOOKUP(I116,PL!$A:$S,4,FALSE)</f>
        <v>0</v>
      </c>
      <c r="L116" s="17">
        <f>VLOOKUP(I116,PL!$A:$S,18,FALSE)</f>
        <v>0</v>
      </c>
      <c r="M116" s="18">
        <f t="shared" si="18"/>
        <v>0</v>
      </c>
      <c r="N116" s="19">
        <f t="shared" si="19"/>
        <v>0</v>
      </c>
    </row>
    <row r="117" spans="2:14" x14ac:dyDescent="0.4">
      <c r="B117" s="6" t="s">
        <v>244</v>
      </c>
      <c r="C117" s="20" t="s">
        <v>245</v>
      </c>
      <c r="D117" s="17">
        <f>VLOOKUP(B117,BS!$A:$S,5,FALSE)</f>
        <v>0</v>
      </c>
      <c r="E117" s="17">
        <f>VLOOKUP(B117,BS!$A:$S,18,FALSE)</f>
        <v>0</v>
      </c>
      <c r="F117" s="18">
        <f t="shared" si="12"/>
        <v>0</v>
      </c>
      <c r="G117" s="19">
        <f t="shared" si="13"/>
        <v>0</v>
      </c>
      <c r="I117" s="6" t="s">
        <v>639</v>
      </c>
      <c r="J117" s="20" t="s">
        <v>640</v>
      </c>
      <c r="K117" s="17">
        <f>VLOOKUP(I117,PL!$A:$S,4,FALSE)</f>
        <v>0</v>
      </c>
      <c r="L117" s="17">
        <f>VLOOKUP(I117,PL!$A:$S,18,FALSE)</f>
        <v>0</v>
      </c>
      <c r="M117" s="18">
        <f t="shared" si="18"/>
        <v>0</v>
      </c>
      <c r="N117" s="19">
        <f t="shared" si="19"/>
        <v>0</v>
      </c>
    </row>
    <row r="118" spans="2:14" x14ac:dyDescent="0.4">
      <c r="B118" s="6" t="s">
        <v>246</v>
      </c>
      <c r="C118" s="20" t="s">
        <v>247</v>
      </c>
      <c r="D118" s="17">
        <f>VLOOKUP(B118,BS!$A:$S,5,FALSE)</f>
        <v>0</v>
      </c>
      <c r="E118" s="17">
        <f>VLOOKUP(B118,BS!$A:$S,18,FALSE)</f>
        <v>0</v>
      </c>
      <c r="F118" s="18">
        <f t="shared" si="12"/>
        <v>0</v>
      </c>
      <c r="G118" s="19">
        <f t="shared" si="13"/>
        <v>0</v>
      </c>
      <c r="I118" s="6" t="s">
        <v>641</v>
      </c>
      <c r="J118" s="20" t="s">
        <v>642</v>
      </c>
      <c r="K118" s="17">
        <f>VLOOKUP(I118,PL!$A:$S,4,FALSE)</f>
        <v>0</v>
      </c>
      <c r="L118" s="17">
        <f>VLOOKUP(I118,PL!$A:$S,18,FALSE)</f>
        <v>0</v>
      </c>
      <c r="M118" s="18">
        <f t="shared" si="18"/>
        <v>0</v>
      </c>
      <c r="N118" s="19">
        <f t="shared" si="19"/>
        <v>0</v>
      </c>
    </row>
    <row r="119" spans="2:14" x14ac:dyDescent="0.4">
      <c r="B119" s="6" t="s">
        <v>248</v>
      </c>
      <c r="C119" s="20" t="s">
        <v>249</v>
      </c>
      <c r="D119" s="17">
        <f>VLOOKUP(B119,BS!$A:$S,5,FALSE)</f>
        <v>0</v>
      </c>
      <c r="E119" s="17">
        <f>VLOOKUP(B119,BS!$A:$S,18,FALSE)</f>
        <v>0</v>
      </c>
      <c r="F119" s="18">
        <f t="shared" si="12"/>
        <v>0</v>
      </c>
      <c r="G119" s="19">
        <f t="shared" si="13"/>
        <v>0</v>
      </c>
      <c r="I119" s="6" t="s">
        <v>643</v>
      </c>
      <c r="J119" s="20" t="s">
        <v>644</v>
      </c>
      <c r="K119" s="17">
        <f>VLOOKUP(I119,PL!$A:$S,4,FALSE)</f>
        <v>0</v>
      </c>
      <c r="L119" s="17">
        <f>VLOOKUP(I119,PL!$A:$S,18,FALSE)</f>
        <v>0</v>
      </c>
      <c r="M119" s="18">
        <f t="shared" si="18"/>
        <v>0</v>
      </c>
      <c r="N119" s="19">
        <f t="shared" si="19"/>
        <v>0</v>
      </c>
    </row>
    <row r="120" spans="2:14" x14ac:dyDescent="0.4">
      <c r="B120" s="6" t="s">
        <v>250</v>
      </c>
      <c r="C120" s="20" t="s">
        <v>251</v>
      </c>
      <c r="D120" s="17">
        <f>VLOOKUP(B120,BS!$A:$S,5,FALSE)</f>
        <v>0</v>
      </c>
      <c r="E120" s="17">
        <f>VLOOKUP(B120,BS!$A:$S,18,FALSE)</f>
        <v>0</v>
      </c>
      <c r="F120" s="18">
        <f t="shared" si="12"/>
        <v>0</v>
      </c>
      <c r="G120" s="19">
        <f t="shared" si="13"/>
        <v>0</v>
      </c>
      <c r="I120" s="6" t="s">
        <v>645</v>
      </c>
      <c r="J120" s="20" t="s">
        <v>646</v>
      </c>
      <c r="K120" s="17">
        <f>VLOOKUP(I120,PL!$A:$S,4,FALSE)</f>
        <v>0</v>
      </c>
      <c r="L120" s="17">
        <f>VLOOKUP(I120,PL!$A:$S,18,FALSE)</f>
        <v>0</v>
      </c>
      <c r="M120" s="18">
        <f t="shared" si="18"/>
        <v>0</v>
      </c>
      <c r="N120" s="19">
        <f t="shared" si="19"/>
        <v>0</v>
      </c>
    </row>
    <row r="121" spans="2:14" x14ac:dyDescent="0.4">
      <c r="B121" s="6" t="s">
        <v>252</v>
      </c>
      <c r="C121" s="20" t="s">
        <v>253</v>
      </c>
      <c r="D121" s="17">
        <f>VLOOKUP(B121,BS!$A:$S,5,FALSE)</f>
        <v>0</v>
      </c>
      <c r="E121" s="17">
        <f>VLOOKUP(B121,BS!$A:$S,18,FALSE)</f>
        <v>0</v>
      </c>
      <c r="F121" s="18">
        <f t="shared" si="12"/>
        <v>0</v>
      </c>
      <c r="G121" s="19">
        <f t="shared" si="13"/>
        <v>0</v>
      </c>
      <c r="I121" s="6" t="s">
        <v>647</v>
      </c>
      <c r="J121" s="20" t="s">
        <v>648</v>
      </c>
      <c r="K121" s="17">
        <f>VLOOKUP(I121,PL!$A:$S,4,FALSE)</f>
        <v>0</v>
      </c>
      <c r="L121" s="17">
        <f>VLOOKUP(I121,PL!$A:$S,18,FALSE)</f>
        <v>0</v>
      </c>
      <c r="M121" s="18">
        <f t="shared" si="18"/>
        <v>0</v>
      </c>
      <c r="N121" s="19">
        <f t="shared" si="19"/>
        <v>0</v>
      </c>
    </row>
    <row r="122" spans="2:14" x14ac:dyDescent="0.4">
      <c r="B122" s="6" t="s">
        <v>254</v>
      </c>
      <c r="C122" s="20" t="s">
        <v>255</v>
      </c>
      <c r="D122" s="17">
        <f>VLOOKUP(B122,BS!$A:$S,5,FALSE)</f>
        <v>0</v>
      </c>
      <c r="E122" s="17">
        <f>VLOOKUP(B122,BS!$A:$S,18,FALSE)</f>
        <v>0</v>
      </c>
      <c r="F122" s="18">
        <f t="shared" si="12"/>
        <v>0</v>
      </c>
      <c r="G122" s="19">
        <f t="shared" si="13"/>
        <v>0</v>
      </c>
      <c r="I122" s="6" t="s">
        <v>649</v>
      </c>
      <c r="J122" s="20" t="s">
        <v>650</v>
      </c>
      <c r="K122" s="17">
        <f>VLOOKUP(I122,PL!$A:$S,4,FALSE)</f>
        <v>0</v>
      </c>
      <c r="L122" s="17">
        <f>VLOOKUP(I122,PL!$A:$S,18,FALSE)</f>
        <v>0</v>
      </c>
      <c r="M122" s="18">
        <f t="shared" si="18"/>
        <v>0</v>
      </c>
      <c r="N122" s="19">
        <f t="shared" si="19"/>
        <v>0</v>
      </c>
    </row>
    <row r="123" spans="2:14" x14ac:dyDescent="0.4">
      <c r="B123" s="6" t="s">
        <v>256</v>
      </c>
      <c r="C123" s="20" t="s">
        <v>257</v>
      </c>
      <c r="D123" s="17">
        <f>VLOOKUP(B123,BS!$A:$S,5,FALSE)</f>
        <v>0</v>
      </c>
      <c r="E123" s="17">
        <f>VLOOKUP(B123,BS!$A:$S,18,FALSE)</f>
        <v>0</v>
      </c>
      <c r="F123" s="18">
        <f t="shared" si="12"/>
        <v>0</v>
      </c>
      <c r="G123" s="19">
        <f t="shared" si="13"/>
        <v>0</v>
      </c>
      <c r="I123" s="6" t="s">
        <v>651</v>
      </c>
      <c r="J123" s="20" t="s">
        <v>652</v>
      </c>
      <c r="K123" s="17">
        <f>VLOOKUP(I123,PL!$A:$S,4,FALSE)</f>
        <v>0</v>
      </c>
      <c r="L123" s="17">
        <f>VLOOKUP(I123,PL!$A:$S,18,FALSE)</f>
        <v>0</v>
      </c>
      <c r="M123" s="18">
        <f t="shared" si="18"/>
        <v>0</v>
      </c>
      <c r="N123" s="19">
        <f t="shared" si="19"/>
        <v>0</v>
      </c>
    </row>
    <row r="124" spans="2:14" x14ac:dyDescent="0.4">
      <c r="B124" s="6" t="s">
        <v>258</v>
      </c>
      <c r="C124" s="20" t="s">
        <v>259</v>
      </c>
      <c r="D124" s="17">
        <f>VLOOKUP(B124,BS!$A:$S,5,FALSE)</f>
        <v>0</v>
      </c>
      <c r="E124" s="17">
        <f>VLOOKUP(B124,BS!$A:$S,18,FALSE)</f>
        <v>0</v>
      </c>
      <c r="F124" s="18">
        <f t="shared" si="12"/>
        <v>0</v>
      </c>
      <c r="G124" s="19">
        <f t="shared" si="13"/>
        <v>0</v>
      </c>
      <c r="I124" s="6" t="s">
        <v>653</v>
      </c>
      <c r="J124" s="20" t="s">
        <v>654</v>
      </c>
      <c r="K124" s="17">
        <f>VLOOKUP(I124,PL!$A:$S,4,FALSE)</f>
        <v>0</v>
      </c>
      <c r="L124" s="17">
        <f>VLOOKUP(I124,PL!$A:$S,18,FALSE)</f>
        <v>0</v>
      </c>
      <c r="M124" s="18">
        <f t="shared" si="18"/>
        <v>0</v>
      </c>
      <c r="N124" s="19">
        <f t="shared" si="19"/>
        <v>0</v>
      </c>
    </row>
    <row r="125" spans="2:14" x14ac:dyDescent="0.4">
      <c r="B125" s="6" t="s">
        <v>260</v>
      </c>
      <c r="C125" s="20" t="s">
        <v>261</v>
      </c>
      <c r="D125" s="17">
        <f>VLOOKUP(B125,BS!$A:$S,5,FALSE)</f>
        <v>14716204.83</v>
      </c>
      <c r="E125" s="17">
        <f>VLOOKUP(B125,BS!$A:$S,18,FALSE)</f>
        <v>9527872.1300000008</v>
      </c>
      <c r="F125" s="18">
        <f t="shared" si="12"/>
        <v>-5188332.6999999993</v>
      </c>
      <c r="G125" s="19">
        <f t="shared" si="13"/>
        <v>-0.35255915230421531</v>
      </c>
      <c r="I125" s="6" t="s">
        <v>655</v>
      </c>
      <c r="J125" s="20" t="s">
        <v>656</v>
      </c>
      <c r="K125" s="17">
        <f>VLOOKUP(I125,PL!$A:$S,4,FALSE)</f>
        <v>0</v>
      </c>
      <c r="L125" s="17">
        <f>VLOOKUP(I125,PL!$A:$S,18,FALSE)</f>
        <v>0</v>
      </c>
      <c r="M125" s="18">
        <f t="shared" si="18"/>
        <v>0</v>
      </c>
      <c r="N125" s="19">
        <f t="shared" si="19"/>
        <v>0</v>
      </c>
    </row>
    <row r="126" spans="2:14" x14ac:dyDescent="0.4">
      <c r="B126" s="6" t="s">
        <v>262</v>
      </c>
      <c r="C126" s="20" t="s">
        <v>263</v>
      </c>
      <c r="D126" s="17">
        <f>VLOOKUP(B126,BS!$A:$S,5,FALSE)</f>
        <v>535733894.06999999</v>
      </c>
      <c r="E126" s="17">
        <f>VLOOKUP(B126,BS!$A:$S,18,FALSE)</f>
        <v>407858133.06</v>
      </c>
      <c r="F126" s="18">
        <f t="shared" si="12"/>
        <v>-127875761.00999999</v>
      </c>
      <c r="G126" s="19">
        <f t="shared" si="13"/>
        <v>-0.23869268385937051</v>
      </c>
      <c r="I126" s="6" t="s">
        <v>657</v>
      </c>
      <c r="J126" s="20" t="s">
        <v>658</v>
      </c>
      <c r="K126" s="17">
        <f>VLOOKUP(I126,PL!$A:$S,4,FALSE)</f>
        <v>0</v>
      </c>
      <c r="L126" s="17">
        <f>VLOOKUP(I126,PL!$A:$S,18,FALSE)</f>
        <v>0</v>
      </c>
      <c r="M126" s="18">
        <f t="shared" si="18"/>
        <v>0</v>
      </c>
      <c r="N126" s="19">
        <f t="shared" si="19"/>
        <v>0</v>
      </c>
    </row>
    <row r="127" spans="2:14" x14ac:dyDescent="0.4">
      <c r="B127" s="6" t="s">
        <v>264</v>
      </c>
      <c r="C127" s="20" t="s">
        <v>265</v>
      </c>
      <c r="D127" s="17">
        <f>VLOOKUP(B127,BS!$A:$S,5,FALSE)</f>
        <v>0</v>
      </c>
      <c r="E127" s="17">
        <f>VLOOKUP(B127,BS!$A:$S,18,FALSE)</f>
        <v>0</v>
      </c>
      <c r="F127" s="18">
        <f t="shared" si="12"/>
        <v>0</v>
      </c>
      <c r="G127" s="19">
        <f t="shared" si="13"/>
        <v>0</v>
      </c>
      <c r="I127" s="6" t="s">
        <v>659</v>
      </c>
      <c r="J127" s="20" t="s">
        <v>660</v>
      </c>
      <c r="K127" s="17">
        <f>VLOOKUP(I127,PL!$A:$S,4,FALSE)</f>
        <v>0</v>
      </c>
      <c r="L127" s="17">
        <f>VLOOKUP(I127,PL!$A:$S,18,FALSE)</f>
        <v>0</v>
      </c>
      <c r="M127" s="18">
        <f t="shared" si="18"/>
        <v>0</v>
      </c>
      <c r="N127" s="19">
        <f t="shared" si="19"/>
        <v>0</v>
      </c>
    </row>
    <row r="128" spans="2:14" x14ac:dyDescent="0.4">
      <c r="B128" s="6" t="s">
        <v>266</v>
      </c>
      <c r="C128" s="20" t="s">
        <v>267</v>
      </c>
      <c r="D128" s="17">
        <f>VLOOKUP(B128,BS!$A:$S,5,FALSE)</f>
        <v>64199140.32</v>
      </c>
      <c r="E128" s="17">
        <f>VLOOKUP(B128,BS!$A:$S,18,FALSE)</f>
        <v>84301390.319999993</v>
      </c>
      <c r="F128" s="18">
        <f t="shared" si="12"/>
        <v>20102249.999999993</v>
      </c>
      <c r="G128" s="19">
        <f t="shared" si="13"/>
        <v>0.31312335180503226</v>
      </c>
      <c r="I128" s="6" t="s">
        <v>661</v>
      </c>
      <c r="J128" s="20" t="s">
        <v>662</v>
      </c>
      <c r="K128" s="17">
        <f>VLOOKUP(I128,PL!$A:$S,4,FALSE)</f>
        <v>0</v>
      </c>
      <c r="L128" s="17">
        <f>VLOOKUP(I128,PL!$A:$S,18,FALSE)</f>
        <v>3699702.55</v>
      </c>
      <c r="M128" s="18">
        <f t="shared" si="18"/>
        <v>3699702.55</v>
      </c>
      <c r="N128" s="19">
        <f t="shared" si="19"/>
        <v>0</v>
      </c>
    </row>
    <row r="129" spans="2:14" x14ac:dyDescent="0.4">
      <c r="B129" s="6" t="s">
        <v>268</v>
      </c>
      <c r="C129" s="20" t="s">
        <v>269</v>
      </c>
      <c r="D129" s="17">
        <f>VLOOKUP(B129,BS!$A:$S,5,FALSE)</f>
        <v>87016600.950000003</v>
      </c>
      <c r="E129" s="17">
        <f>VLOOKUP(B129,BS!$A:$S,18,FALSE)</f>
        <v>137098030.28</v>
      </c>
      <c r="F129" s="18">
        <f t="shared" si="12"/>
        <v>50081429.329999998</v>
      </c>
      <c r="G129" s="19">
        <f t="shared" si="13"/>
        <v>0.57553879125635965</v>
      </c>
      <c r="I129" s="6" t="s">
        <v>663</v>
      </c>
      <c r="J129" s="20" t="s">
        <v>664</v>
      </c>
      <c r="K129" s="17">
        <f>VLOOKUP(I129,PL!$A:$S,4,FALSE)</f>
        <v>0</v>
      </c>
      <c r="L129" s="17">
        <f>VLOOKUP(I129,PL!$A:$S,18,FALSE)</f>
        <v>0</v>
      </c>
      <c r="M129" s="18">
        <f t="shared" si="18"/>
        <v>0</v>
      </c>
      <c r="N129" s="19">
        <f t="shared" si="19"/>
        <v>0</v>
      </c>
    </row>
    <row r="130" spans="2:14" x14ac:dyDescent="0.4">
      <c r="B130" s="6" t="s">
        <v>270</v>
      </c>
      <c r="C130" s="20" t="s">
        <v>271</v>
      </c>
      <c r="D130" s="17">
        <f>VLOOKUP(B130,BS!$A:$S,5,FALSE)</f>
        <v>0</v>
      </c>
      <c r="E130" s="17">
        <f>VLOOKUP(B130,BS!$A:$S,18,FALSE)</f>
        <v>0</v>
      </c>
      <c r="F130" s="18">
        <f t="shared" si="12"/>
        <v>0</v>
      </c>
      <c r="G130" s="19">
        <f t="shared" si="13"/>
        <v>0</v>
      </c>
      <c r="I130" s="6" t="s">
        <v>665</v>
      </c>
      <c r="J130" s="20" t="s">
        <v>666</v>
      </c>
      <c r="K130" s="17">
        <f>VLOOKUP(I130,PL!$A:$S,4,FALSE)</f>
        <v>0</v>
      </c>
      <c r="L130" s="17">
        <f>VLOOKUP(I130,PL!$A:$S,18,FALSE)</f>
        <v>0</v>
      </c>
      <c r="M130" s="18">
        <f t="shared" si="18"/>
        <v>0</v>
      </c>
      <c r="N130" s="19">
        <f t="shared" si="19"/>
        <v>0</v>
      </c>
    </row>
    <row r="131" spans="2:14" x14ac:dyDescent="0.4">
      <c r="B131" s="6" t="s">
        <v>272</v>
      </c>
      <c r="C131" s="20" t="s">
        <v>273</v>
      </c>
      <c r="D131" s="17">
        <f>VLOOKUP(B131,BS!$A:$S,5,FALSE)</f>
        <v>0</v>
      </c>
      <c r="E131" s="17">
        <f>VLOOKUP(B131,BS!$A:$S,18,FALSE)</f>
        <v>0</v>
      </c>
      <c r="F131" s="18">
        <f t="shared" si="12"/>
        <v>0</v>
      </c>
      <c r="G131" s="19">
        <f t="shared" si="13"/>
        <v>0</v>
      </c>
      <c r="I131" s="6" t="s">
        <v>667</v>
      </c>
      <c r="J131" s="20" t="s">
        <v>668</v>
      </c>
      <c r="K131" s="17">
        <f>VLOOKUP(I131,PL!$A:$S,4,FALSE)</f>
        <v>0</v>
      </c>
      <c r="L131" s="17">
        <f>VLOOKUP(I131,PL!$A:$S,18,FALSE)</f>
        <v>0</v>
      </c>
      <c r="M131" s="18">
        <f t="shared" si="18"/>
        <v>0</v>
      </c>
      <c r="N131" s="19">
        <f t="shared" si="19"/>
        <v>0</v>
      </c>
    </row>
    <row r="132" spans="2:14" x14ac:dyDescent="0.4">
      <c r="B132" s="6" t="s">
        <v>274</v>
      </c>
      <c r="C132" s="20" t="s">
        <v>275</v>
      </c>
      <c r="D132" s="17">
        <f>VLOOKUP(B132,BS!$A:$S,5,FALSE)</f>
        <v>0</v>
      </c>
      <c r="E132" s="17">
        <f>VLOOKUP(B132,BS!$A:$S,18,FALSE)</f>
        <v>26936939.960000001</v>
      </c>
      <c r="F132" s="18">
        <f t="shared" ref="F132:F195" si="20">E132-D132</f>
        <v>26936939.960000001</v>
      </c>
      <c r="G132" s="19">
        <f t="shared" ref="G132:G195" si="21">IFERROR(F132/D132,0)</f>
        <v>0</v>
      </c>
      <c r="I132" s="6" t="s">
        <v>669</v>
      </c>
      <c r="J132" s="20" t="s">
        <v>670</v>
      </c>
      <c r="K132" s="17">
        <f>VLOOKUP(I132,PL!$A:$S,4,FALSE)</f>
        <v>0</v>
      </c>
      <c r="L132" s="17">
        <f>VLOOKUP(I132,PL!$A:$S,18,FALSE)</f>
        <v>0</v>
      </c>
      <c r="M132" s="18">
        <f t="shared" si="18"/>
        <v>0</v>
      </c>
      <c r="N132" s="19">
        <f t="shared" si="19"/>
        <v>0</v>
      </c>
    </row>
    <row r="133" spans="2:14" x14ac:dyDescent="0.4">
      <c r="B133" s="6" t="s">
        <v>276</v>
      </c>
      <c r="C133" s="20" t="s">
        <v>277</v>
      </c>
      <c r="D133" s="17">
        <f>VLOOKUP(B133,BS!$A:$S,5,FALSE)</f>
        <v>0</v>
      </c>
      <c r="E133" s="17">
        <f>VLOOKUP(B133,BS!$A:$S,18,FALSE)</f>
        <v>0</v>
      </c>
      <c r="F133" s="18">
        <f t="shared" si="20"/>
        <v>0</v>
      </c>
      <c r="G133" s="19">
        <f t="shared" si="21"/>
        <v>0</v>
      </c>
      <c r="I133" s="6" t="s">
        <v>671</v>
      </c>
      <c r="J133" s="20" t="s">
        <v>672</v>
      </c>
      <c r="K133" s="17">
        <f>VLOOKUP(I133,PL!$A:$S,4,FALSE)</f>
        <v>0</v>
      </c>
      <c r="L133" s="17">
        <f>VLOOKUP(I133,PL!$A:$S,18,FALSE)</f>
        <v>0</v>
      </c>
      <c r="M133" s="18">
        <f t="shared" si="18"/>
        <v>0</v>
      </c>
      <c r="N133" s="19">
        <f t="shared" si="19"/>
        <v>0</v>
      </c>
    </row>
    <row r="134" spans="2:14" x14ac:dyDescent="0.4">
      <c r="B134" s="6" t="s">
        <v>278</v>
      </c>
      <c r="C134" s="20" t="s">
        <v>279</v>
      </c>
      <c r="D134" s="17">
        <f>VLOOKUP(B134,BS!$A:$S,5,FALSE)</f>
        <v>0</v>
      </c>
      <c r="E134" s="17">
        <f>VLOOKUP(B134,BS!$A:$S,18,FALSE)</f>
        <v>0</v>
      </c>
      <c r="F134" s="18">
        <f t="shared" si="20"/>
        <v>0</v>
      </c>
      <c r="G134" s="19">
        <f t="shared" si="21"/>
        <v>0</v>
      </c>
      <c r="I134" s="6" t="s">
        <v>673</v>
      </c>
      <c r="J134" s="20" t="s">
        <v>674</v>
      </c>
      <c r="K134" s="17">
        <f>VLOOKUP(I134,PL!$A:$S,4,FALSE)</f>
        <v>0</v>
      </c>
      <c r="L134" s="17">
        <f>VLOOKUP(I134,PL!$A:$S,18,FALSE)</f>
        <v>0</v>
      </c>
      <c r="M134" s="18">
        <f t="shared" si="18"/>
        <v>0</v>
      </c>
      <c r="N134" s="19">
        <f t="shared" si="19"/>
        <v>0</v>
      </c>
    </row>
    <row r="135" spans="2:14" x14ac:dyDescent="0.4">
      <c r="B135" s="6" t="s">
        <v>280</v>
      </c>
      <c r="C135" s="20" t="s">
        <v>281</v>
      </c>
      <c r="D135" s="17">
        <f>VLOOKUP(B135,BS!$A:$S,5,FALSE)</f>
        <v>0</v>
      </c>
      <c r="E135" s="17">
        <f>VLOOKUP(B135,BS!$A:$S,18,FALSE)</f>
        <v>0</v>
      </c>
      <c r="F135" s="18">
        <f t="shared" si="20"/>
        <v>0</v>
      </c>
      <c r="G135" s="19">
        <f t="shared" si="21"/>
        <v>0</v>
      </c>
      <c r="I135" s="6" t="s">
        <v>675</v>
      </c>
      <c r="J135" s="20" t="s">
        <v>676</v>
      </c>
      <c r="K135" s="17">
        <f>VLOOKUP(I135,PL!$A:$S,4,FALSE)</f>
        <v>0</v>
      </c>
      <c r="L135" s="17">
        <f>VLOOKUP(I135,PL!$A:$S,18,FALSE)</f>
        <v>0</v>
      </c>
      <c r="M135" s="18">
        <f t="shared" si="18"/>
        <v>0</v>
      </c>
      <c r="N135" s="19">
        <f t="shared" si="19"/>
        <v>0</v>
      </c>
    </row>
    <row r="136" spans="2:14" x14ac:dyDescent="0.4">
      <c r="B136" s="6" t="s">
        <v>282</v>
      </c>
      <c r="C136" s="20" t="s">
        <v>283</v>
      </c>
      <c r="D136" s="17">
        <f>VLOOKUP(B136,BS!$A:$S,5,FALSE)</f>
        <v>0</v>
      </c>
      <c r="E136" s="17">
        <f>VLOOKUP(B136,BS!$A:$S,18,FALSE)</f>
        <v>0</v>
      </c>
      <c r="F136" s="18">
        <f t="shared" si="20"/>
        <v>0</v>
      </c>
      <c r="G136" s="19">
        <f t="shared" si="21"/>
        <v>0</v>
      </c>
      <c r="I136" s="6" t="s">
        <v>677</v>
      </c>
      <c r="J136" s="20" t="s">
        <v>678</v>
      </c>
      <c r="K136" s="17">
        <f>VLOOKUP(I136,PL!$A:$S,4,FALSE)</f>
        <v>0</v>
      </c>
      <c r="L136" s="17">
        <f>VLOOKUP(I136,PL!$A:$S,18,FALSE)</f>
        <v>0</v>
      </c>
      <c r="M136" s="18">
        <f t="shared" ref="M136:M149" si="22">L136-K136</f>
        <v>0</v>
      </c>
      <c r="N136" s="19">
        <f t="shared" ref="N136:N149" si="23">IFERROR(M136/K136,0)</f>
        <v>0</v>
      </c>
    </row>
    <row r="137" spans="2:14" x14ac:dyDescent="0.4">
      <c r="B137" s="6" t="s">
        <v>284</v>
      </c>
      <c r="C137" s="20" t="s">
        <v>285</v>
      </c>
      <c r="D137" s="17">
        <f>VLOOKUP(B137,BS!$A:$S,5,FALSE)</f>
        <v>0</v>
      </c>
      <c r="E137" s="17">
        <f>VLOOKUP(B137,BS!$A:$S,18,FALSE)</f>
        <v>0</v>
      </c>
      <c r="F137" s="18">
        <f t="shared" si="20"/>
        <v>0</v>
      </c>
      <c r="G137" s="19">
        <f t="shared" si="21"/>
        <v>0</v>
      </c>
      <c r="I137" s="6" t="s">
        <v>679</v>
      </c>
      <c r="J137" s="20" t="s">
        <v>680</v>
      </c>
      <c r="K137" s="17">
        <f>VLOOKUP(I137,PL!$A:$S,4,FALSE)</f>
        <v>0</v>
      </c>
      <c r="L137" s="17">
        <f>VLOOKUP(I137,PL!$A:$S,18,FALSE)</f>
        <v>0</v>
      </c>
      <c r="M137" s="18">
        <f t="shared" si="22"/>
        <v>0</v>
      </c>
      <c r="N137" s="19">
        <f t="shared" si="23"/>
        <v>0</v>
      </c>
    </row>
    <row r="138" spans="2:14" x14ac:dyDescent="0.4">
      <c r="B138" s="6" t="s">
        <v>286</v>
      </c>
      <c r="C138" s="20" t="s">
        <v>287</v>
      </c>
      <c r="D138" s="17">
        <f>VLOOKUP(B138,BS!$A:$S,5,FALSE)</f>
        <v>0</v>
      </c>
      <c r="E138" s="17">
        <f>VLOOKUP(B138,BS!$A:$S,18,FALSE)</f>
        <v>0</v>
      </c>
      <c r="F138" s="18">
        <f t="shared" si="20"/>
        <v>0</v>
      </c>
      <c r="G138" s="19">
        <f t="shared" si="21"/>
        <v>0</v>
      </c>
      <c r="I138" s="6" t="s">
        <v>681</v>
      </c>
      <c r="J138" s="20" t="s">
        <v>682</v>
      </c>
      <c r="K138" s="17">
        <f>VLOOKUP(I138,PL!$A:$S,4,FALSE)</f>
        <v>0</v>
      </c>
      <c r="L138" s="17">
        <f>VLOOKUP(I138,PL!$A:$S,18,FALSE)</f>
        <v>0</v>
      </c>
      <c r="M138" s="18">
        <f t="shared" si="22"/>
        <v>0</v>
      </c>
      <c r="N138" s="19">
        <f t="shared" si="23"/>
        <v>0</v>
      </c>
    </row>
    <row r="139" spans="2:14" x14ac:dyDescent="0.4">
      <c r="B139" s="6" t="s">
        <v>288</v>
      </c>
      <c r="C139" s="20" t="s">
        <v>289</v>
      </c>
      <c r="D139" s="17">
        <f>VLOOKUP(B139,BS!$A:$S,5,FALSE)</f>
        <v>0</v>
      </c>
      <c r="E139" s="17">
        <f>VLOOKUP(B139,BS!$A:$S,18,FALSE)</f>
        <v>0</v>
      </c>
      <c r="F139" s="18">
        <f t="shared" si="20"/>
        <v>0</v>
      </c>
      <c r="G139" s="19">
        <f t="shared" si="21"/>
        <v>0</v>
      </c>
      <c r="I139" s="6" t="s">
        <v>683</v>
      </c>
      <c r="J139" s="20" t="s">
        <v>684</v>
      </c>
      <c r="K139" s="17">
        <f>VLOOKUP(I139,PL!$A:$S,4,FALSE)</f>
        <v>283110.83</v>
      </c>
      <c r="L139" s="17">
        <f>VLOOKUP(I139,PL!$A:$S,18,FALSE)</f>
        <v>0</v>
      </c>
      <c r="M139" s="18">
        <f t="shared" si="22"/>
        <v>-283110.83</v>
      </c>
      <c r="N139" s="19">
        <f t="shared" si="23"/>
        <v>-1</v>
      </c>
    </row>
    <row r="140" spans="2:14" x14ac:dyDescent="0.4">
      <c r="B140" s="6" t="s">
        <v>290</v>
      </c>
      <c r="C140" s="20" t="s">
        <v>291</v>
      </c>
      <c r="D140" s="17">
        <f>VLOOKUP(B140,BS!$A:$S,5,FALSE)</f>
        <v>42281521</v>
      </c>
      <c r="E140" s="17">
        <f>VLOOKUP(B140,BS!$A:$S,18,FALSE)</f>
        <v>27233566</v>
      </c>
      <c r="F140" s="18">
        <f t="shared" si="20"/>
        <v>-15047955</v>
      </c>
      <c r="G140" s="19">
        <f t="shared" si="21"/>
        <v>-0.35589909360167055</v>
      </c>
      <c r="I140" s="6" t="s">
        <v>685</v>
      </c>
      <c r="J140" s="20" t="s">
        <v>686</v>
      </c>
      <c r="K140" s="17">
        <f>VLOOKUP(I140,PL!$A:$S,4,FALSE)</f>
        <v>0</v>
      </c>
      <c r="L140" s="17">
        <f>VLOOKUP(I140,PL!$A:$S,18,FALSE)</f>
        <v>0</v>
      </c>
      <c r="M140" s="18">
        <f t="shared" si="22"/>
        <v>0</v>
      </c>
      <c r="N140" s="19">
        <f t="shared" si="23"/>
        <v>0</v>
      </c>
    </row>
    <row r="141" spans="2:14" x14ac:dyDescent="0.4">
      <c r="B141" s="6" t="s">
        <v>292</v>
      </c>
      <c r="C141" s="20" t="s">
        <v>293</v>
      </c>
      <c r="D141" s="17">
        <f>VLOOKUP(B141,BS!$A:$S,5,FALSE)</f>
        <v>0</v>
      </c>
      <c r="E141" s="17">
        <f>VLOOKUP(B141,BS!$A:$S,18,FALSE)</f>
        <v>0</v>
      </c>
      <c r="F141" s="18">
        <f t="shared" si="20"/>
        <v>0</v>
      </c>
      <c r="G141" s="19">
        <f t="shared" si="21"/>
        <v>0</v>
      </c>
      <c r="I141" s="6" t="s">
        <v>687</v>
      </c>
      <c r="J141" s="20" t="s">
        <v>688</v>
      </c>
      <c r="K141" s="17">
        <f>VLOOKUP(I141,PL!$A:$S,4,FALSE)</f>
        <v>0</v>
      </c>
      <c r="L141" s="17">
        <f>VLOOKUP(I141,PL!$A:$S,18,FALSE)</f>
        <v>0</v>
      </c>
      <c r="M141" s="18">
        <f t="shared" si="22"/>
        <v>0</v>
      </c>
      <c r="N141" s="19">
        <f t="shared" si="23"/>
        <v>0</v>
      </c>
    </row>
    <row r="142" spans="2:14" x14ac:dyDescent="0.4">
      <c r="B142" s="6" t="s">
        <v>294</v>
      </c>
      <c r="C142" s="20" t="s">
        <v>295</v>
      </c>
      <c r="D142" s="17">
        <f>VLOOKUP(B142,BS!$A:$S,5,FALSE)</f>
        <v>0</v>
      </c>
      <c r="E142" s="17">
        <f>VLOOKUP(B142,BS!$A:$S,18,FALSE)</f>
        <v>0</v>
      </c>
      <c r="F142" s="18">
        <f t="shared" si="20"/>
        <v>0</v>
      </c>
      <c r="G142" s="19">
        <f t="shared" si="21"/>
        <v>0</v>
      </c>
      <c r="I142" s="6" t="s">
        <v>689</v>
      </c>
      <c r="J142" s="20" t="s">
        <v>690</v>
      </c>
      <c r="K142" s="17">
        <f>VLOOKUP(I142,PL!$A:$S,4,FALSE)</f>
        <v>0</v>
      </c>
      <c r="L142" s="17">
        <f>VLOOKUP(I142,PL!$A:$S,18,FALSE)</f>
        <v>0</v>
      </c>
      <c r="M142" s="18">
        <f t="shared" ref="M142" si="24">L142-K142</f>
        <v>0</v>
      </c>
      <c r="N142" s="19">
        <f t="shared" ref="N142" si="25">IFERROR(M142/K142,0)</f>
        <v>0</v>
      </c>
    </row>
    <row r="143" spans="2:14" x14ac:dyDescent="0.4">
      <c r="B143" s="6" t="s">
        <v>296</v>
      </c>
      <c r="C143" s="20" t="s">
        <v>297</v>
      </c>
      <c r="D143" s="17">
        <f>VLOOKUP(B143,BS!$A:$S,5,FALSE)</f>
        <v>0</v>
      </c>
      <c r="E143" s="17">
        <f>VLOOKUP(B143,BS!$A:$S,18,FALSE)</f>
        <v>0</v>
      </c>
      <c r="F143" s="18">
        <f t="shared" si="20"/>
        <v>0</v>
      </c>
      <c r="G143" s="19">
        <f t="shared" si="21"/>
        <v>0</v>
      </c>
      <c r="I143" s="6" t="s">
        <v>725</v>
      </c>
      <c r="J143" s="20" t="s">
        <v>726</v>
      </c>
      <c r="K143" s="17">
        <f>VLOOKUP(I143,PL!$A:$S,4,FALSE)</f>
        <v>0</v>
      </c>
      <c r="L143" s="17">
        <f>VLOOKUP(I143,PL!$A:$S,18,FALSE)</f>
        <v>0</v>
      </c>
      <c r="M143" s="18">
        <f t="shared" si="22"/>
        <v>0</v>
      </c>
      <c r="N143" s="19">
        <f t="shared" si="23"/>
        <v>0</v>
      </c>
    </row>
    <row r="144" spans="2:14" x14ac:dyDescent="0.4">
      <c r="B144" s="15" t="s">
        <v>298</v>
      </c>
      <c r="C144" s="16" t="s">
        <v>299</v>
      </c>
      <c r="D144" s="17">
        <f>VLOOKUP(B144,BS!$A:$S,5,FALSE)</f>
        <v>0</v>
      </c>
      <c r="E144" s="17">
        <f>VLOOKUP(B144,BS!$A:$S,18,FALSE)</f>
        <v>0</v>
      </c>
      <c r="F144" s="18">
        <f t="shared" si="20"/>
        <v>0</v>
      </c>
      <c r="G144" s="19">
        <f t="shared" si="21"/>
        <v>0</v>
      </c>
      <c r="I144" s="15" t="s">
        <v>691</v>
      </c>
      <c r="J144" s="16" t="s">
        <v>692</v>
      </c>
      <c r="K144" s="17">
        <f>VLOOKUP(I144,PL!$A:$S,4,FALSE)</f>
        <v>-25016792.309999999</v>
      </c>
      <c r="L144" s="17">
        <f>VLOOKUP(I144,PL!$A:$S,18,FALSE)</f>
        <v>-153105362.52000001</v>
      </c>
      <c r="M144" s="18">
        <f t="shared" si="22"/>
        <v>-128088570.21000001</v>
      </c>
      <c r="N144" s="19">
        <f t="shared" si="23"/>
        <v>5.1201036736751808</v>
      </c>
    </row>
    <row r="145" spans="2:14" x14ac:dyDescent="0.4">
      <c r="B145" s="6" t="s">
        <v>300</v>
      </c>
      <c r="C145" s="20" t="s">
        <v>301</v>
      </c>
      <c r="D145" s="17">
        <f>VLOOKUP(B145,BS!$A:$S,5,FALSE)</f>
        <v>0</v>
      </c>
      <c r="E145" s="17">
        <f>VLOOKUP(B145,BS!$A:$S,18,FALSE)</f>
        <v>0</v>
      </c>
      <c r="F145" s="18">
        <f t="shared" si="20"/>
        <v>0</v>
      </c>
      <c r="G145" s="19">
        <f t="shared" si="21"/>
        <v>0</v>
      </c>
      <c r="I145" s="15" t="s">
        <v>693</v>
      </c>
      <c r="J145" s="16" t="s">
        <v>694</v>
      </c>
      <c r="K145" s="17">
        <f>VLOOKUP(I145,PL!$A:$S,4,FALSE)</f>
        <v>13796790</v>
      </c>
      <c r="L145" s="17">
        <f>VLOOKUP(I145,PL!$A:$S,18,FALSE)</f>
        <v>0</v>
      </c>
      <c r="M145" s="18">
        <f t="shared" si="22"/>
        <v>-13796790</v>
      </c>
      <c r="N145" s="19">
        <f t="shared" si="23"/>
        <v>-1</v>
      </c>
    </row>
    <row r="146" spans="2:14" x14ac:dyDescent="0.4">
      <c r="B146" s="6" t="s">
        <v>302</v>
      </c>
      <c r="C146" s="20" t="s">
        <v>303</v>
      </c>
      <c r="D146" s="17">
        <f>VLOOKUP(B146,BS!$A:$S,5,FALSE)</f>
        <v>0</v>
      </c>
      <c r="E146" s="17">
        <f>VLOOKUP(B146,BS!$A:$S,18,FALSE)</f>
        <v>0</v>
      </c>
      <c r="F146" s="18">
        <f t="shared" si="20"/>
        <v>0</v>
      </c>
      <c r="G146" s="19">
        <f t="shared" si="21"/>
        <v>0</v>
      </c>
      <c r="I146" s="6" t="s">
        <v>695</v>
      </c>
      <c r="J146" s="20" t="s">
        <v>694</v>
      </c>
      <c r="K146" s="17">
        <f>VLOOKUP(I146,PL!$A:$S,4,FALSE)</f>
        <v>13796790</v>
      </c>
      <c r="L146" s="17">
        <f>VLOOKUP(I146,PL!$A:$S,18,FALSE)</f>
        <v>0</v>
      </c>
      <c r="M146" s="18">
        <f t="shared" si="22"/>
        <v>-13796790</v>
      </c>
      <c r="N146" s="19">
        <f t="shared" si="23"/>
        <v>-1</v>
      </c>
    </row>
    <row r="147" spans="2:14" x14ac:dyDescent="0.4">
      <c r="B147" s="6" t="s">
        <v>304</v>
      </c>
      <c r="C147" s="20" t="s">
        <v>305</v>
      </c>
      <c r="D147" s="17">
        <f>VLOOKUP(B147,BS!$A:$S,5,FALSE)</f>
        <v>0</v>
      </c>
      <c r="E147" s="17">
        <f>VLOOKUP(B147,BS!$A:$S,18,FALSE)</f>
        <v>0</v>
      </c>
      <c r="F147" s="18">
        <f t="shared" si="20"/>
        <v>0</v>
      </c>
      <c r="G147" s="19">
        <f t="shared" si="21"/>
        <v>0</v>
      </c>
      <c r="I147" s="15" t="s">
        <v>696</v>
      </c>
      <c r="J147" s="16" t="s">
        <v>697</v>
      </c>
      <c r="K147" s="17">
        <f>VLOOKUP(I147,PL!$A:$S,4,FALSE)</f>
        <v>-38813582.310000002</v>
      </c>
      <c r="L147" s="17">
        <f>VLOOKUP(I147,PL!$A:$S,18,FALSE)</f>
        <v>-153105362.52000001</v>
      </c>
      <c r="M147" s="18">
        <f t="shared" si="22"/>
        <v>-114291780.21000001</v>
      </c>
      <c r="N147" s="19">
        <f t="shared" si="23"/>
        <v>2.94463364131565</v>
      </c>
    </row>
    <row r="148" spans="2:14" x14ac:dyDescent="0.4">
      <c r="B148" s="6" t="s">
        <v>306</v>
      </c>
      <c r="C148" s="20" t="s">
        <v>307</v>
      </c>
      <c r="D148" s="17">
        <f>VLOOKUP(B148,BS!$A:$S,5,FALSE)</f>
        <v>0</v>
      </c>
      <c r="E148" s="17">
        <f>VLOOKUP(B148,BS!$A:$S,18,FALSE)</f>
        <v>0</v>
      </c>
      <c r="F148" s="18">
        <f t="shared" si="20"/>
        <v>0</v>
      </c>
      <c r="G148" s="19">
        <f t="shared" si="21"/>
        <v>0</v>
      </c>
      <c r="I148" s="6" t="s">
        <v>698</v>
      </c>
      <c r="J148" s="20" t="s">
        <v>699</v>
      </c>
      <c r="K148" s="17">
        <f>VLOOKUP(I148,PL!$A:$S,4,FALSE)</f>
        <v>-38813582.310000002</v>
      </c>
      <c r="L148" s="17">
        <f>VLOOKUP(I148,PL!$A:$S,18,FALSE)</f>
        <v>-153105362.52000001</v>
      </c>
      <c r="M148" s="18">
        <f t="shared" si="22"/>
        <v>-114291780.21000001</v>
      </c>
      <c r="N148" s="19">
        <f t="shared" si="23"/>
        <v>2.94463364131565</v>
      </c>
    </row>
    <row r="149" spans="2:14" x14ac:dyDescent="0.4">
      <c r="B149" s="6" t="s">
        <v>308</v>
      </c>
      <c r="C149" s="20" t="s">
        <v>309</v>
      </c>
      <c r="D149" s="17">
        <f>VLOOKUP(B149,BS!$A:$S,5,FALSE)</f>
        <v>0</v>
      </c>
      <c r="E149" s="17">
        <f>VLOOKUP(B149,BS!$A:$S,18,FALSE)</f>
        <v>0</v>
      </c>
      <c r="F149" s="18">
        <f t="shared" si="20"/>
        <v>0</v>
      </c>
      <c r="G149" s="19">
        <f t="shared" si="21"/>
        <v>0</v>
      </c>
      <c r="I149" s="6" t="s">
        <v>700</v>
      </c>
      <c r="J149" s="21" t="s">
        <v>701</v>
      </c>
      <c r="K149" s="22">
        <f>VLOOKUP(I149,PL!$A:$S,4,FALSE)</f>
        <v>0</v>
      </c>
      <c r="L149" s="22">
        <f>VLOOKUP(I149,PL!$A:$S,18,FALSE)</f>
        <v>0</v>
      </c>
      <c r="M149" s="23">
        <f t="shared" si="22"/>
        <v>0</v>
      </c>
      <c r="N149" s="24">
        <f t="shared" si="23"/>
        <v>0</v>
      </c>
    </row>
    <row r="150" spans="2:14" x14ac:dyDescent="0.4">
      <c r="B150" s="6" t="s">
        <v>310</v>
      </c>
      <c r="C150" s="20" t="s">
        <v>311</v>
      </c>
      <c r="D150" s="17">
        <f>VLOOKUP(B150,BS!$A:$S,5,FALSE)</f>
        <v>0</v>
      </c>
      <c r="E150" s="17">
        <f>VLOOKUP(B150,BS!$A:$S,18,FALSE)</f>
        <v>0</v>
      </c>
      <c r="F150" s="18">
        <f t="shared" si="20"/>
        <v>0</v>
      </c>
      <c r="G150" s="19">
        <f t="shared" si="21"/>
        <v>0</v>
      </c>
    </row>
    <row r="151" spans="2:14" x14ac:dyDescent="0.4">
      <c r="B151" s="6" t="s">
        <v>312</v>
      </c>
      <c r="C151" s="20" t="s">
        <v>313</v>
      </c>
      <c r="D151" s="17">
        <f>VLOOKUP(B151,BS!$A:$S,5,FALSE)</f>
        <v>0</v>
      </c>
      <c r="E151" s="17">
        <f>VLOOKUP(B151,BS!$A:$S,18,FALSE)</f>
        <v>0</v>
      </c>
      <c r="F151" s="18">
        <f t="shared" si="20"/>
        <v>0</v>
      </c>
      <c r="G151" s="19">
        <f t="shared" si="21"/>
        <v>0</v>
      </c>
    </row>
    <row r="152" spans="2:14" x14ac:dyDescent="0.4">
      <c r="B152" s="6" t="s">
        <v>314</v>
      </c>
      <c r="C152" s="20" t="s">
        <v>315</v>
      </c>
      <c r="D152" s="17">
        <f>VLOOKUP(B152,BS!$A:$S,5,FALSE)</f>
        <v>0</v>
      </c>
      <c r="E152" s="17">
        <f>VLOOKUP(B152,BS!$A:$S,18,FALSE)</f>
        <v>0</v>
      </c>
      <c r="F152" s="18">
        <f t="shared" si="20"/>
        <v>0</v>
      </c>
      <c r="G152" s="19">
        <f t="shared" si="21"/>
        <v>0</v>
      </c>
    </row>
    <row r="153" spans="2:14" x14ac:dyDescent="0.4">
      <c r="B153" s="6" t="s">
        <v>316</v>
      </c>
      <c r="C153" s="20" t="s">
        <v>317</v>
      </c>
      <c r="D153" s="17">
        <f>VLOOKUP(B153,BS!$A:$S,5,FALSE)</f>
        <v>0</v>
      </c>
      <c r="E153" s="17">
        <f>VLOOKUP(B153,BS!$A:$S,18,FALSE)</f>
        <v>0</v>
      </c>
      <c r="F153" s="18">
        <f t="shared" si="20"/>
        <v>0</v>
      </c>
      <c r="G153" s="19">
        <f t="shared" si="21"/>
        <v>0</v>
      </c>
    </row>
    <row r="154" spans="2:14" x14ac:dyDescent="0.4">
      <c r="B154" s="6" t="s">
        <v>318</v>
      </c>
      <c r="C154" s="20" t="s">
        <v>319</v>
      </c>
      <c r="D154" s="17">
        <f>VLOOKUP(B154,BS!$A:$S,5,FALSE)</f>
        <v>0</v>
      </c>
      <c r="E154" s="17">
        <f>VLOOKUP(B154,BS!$A:$S,18,FALSE)</f>
        <v>0</v>
      </c>
      <c r="F154" s="18">
        <f t="shared" si="20"/>
        <v>0</v>
      </c>
      <c r="G154" s="19">
        <f t="shared" si="21"/>
        <v>0</v>
      </c>
    </row>
    <row r="155" spans="2:14" x14ac:dyDescent="0.4">
      <c r="B155" s="6" t="s">
        <v>320</v>
      </c>
      <c r="C155" s="20" t="s">
        <v>321</v>
      </c>
      <c r="D155" s="17">
        <f>VLOOKUP(B155,BS!$A:$S,5,FALSE)</f>
        <v>0</v>
      </c>
      <c r="E155" s="17">
        <f>VLOOKUP(B155,BS!$A:$S,18,FALSE)</f>
        <v>0</v>
      </c>
      <c r="F155" s="18">
        <f t="shared" si="20"/>
        <v>0</v>
      </c>
      <c r="G155" s="19">
        <f t="shared" si="21"/>
        <v>0</v>
      </c>
    </row>
    <row r="156" spans="2:14" x14ac:dyDescent="0.4">
      <c r="B156" s="6" t="s">
        <v>322</v>
      </c>
      <c r="C156" s="20" t="s">
        <v>323</v>
      </c>
      <c r="D156" s="17">
        <f>VLOOKUP(B156,BS!$A:$S,5,FALSE)</f>
        <v>0</v>
      </c>
      <c r="E156" s="17">
        <f>VLOOKUP(B156,BS!$A:$S,18,FALSE)</f>
        <v>0</v>
      </c>
      <c r="F156" s="18">
        <f t="shared" si="20"/>
        <v>0</v>
      </c>
      <c r="G156" s="19">
        <f t="shared" si="21"/>
        <v>0</v>
      </c>
    </row>
    <row r="157" spans="2:14" x14ac:dyDescent="0.4">
      <c r="B157" s="6" t="s">
        <v>324</v>
      </c>
      <c r="C157" s="20" t="s">
        <v>325</v>
      </c>
      <c r="D157" s="17">
        <f>VLOOKUP(B157,BS!$A:$S,5,FALSE)</f>
        <v>0</v>
      </c>
      <c r="E157" s="17">
        <f>VLOOKUP(B157,BS!$A:$S,18,FALSE)</f>
        <v>0</v>
      </c>
      <c r="F157" s="18">
        <f t="shared" si="20"/>
        <v>0</v>
      </c>
      <c r="G157" s="19">
        <f t="shared" si="21"/>
        <v>0</v>
      </c>
    </row>
    <row r="158" spans="2:14" x14ac:dyDescent="0.4">
      <c r="B158" s="6" t="s">
        <v>326</v>
      </c>
      <c r="C158" s="20" t="s">
        <v>327</v>
      </c>
      <c r="D158" s="17">
        <f>VLOOKUP(B158,BS!$A:$S,5,FALSE)</f>
        <v>0</v>
      </c>
      <c r="E158" s="17">
        <f>VLOOKUP(B158,BS!$A:$S,18,FALSE)</f>
        <v>0</v>
      </c>
      <c r="F158" s="18">
        <f t="shared" si="20"/>
        <v>0</v>
      </c>
      <c r="G158" s="19">
        <f t="shared" si="21"/>
        <v>0</v>
      </c>
    </row>
    <row r="159" spans="2:14" x14ac:dyDescent="0.4">
      <c r="B159" s="6" t="s">
        <v>328</v>
      </c>
      <c r="C159" s="20" t="s">
        <v>329</v>
      </c>
      <c r="D159" s="17">
        <f>VLOOKUP(B159,BS!$A:$S,5,FALSE)</f>
        <v>0</v>
      </c>
      <c r="E159" s="17">
        <f>VLOOKUP(B159,BS!$A:$S,18,FALSE)</f>
        <v>0</v>
      </c>
      <c r="F159" s="18">
        <f t="shared" si="20"/>
        <v>0</v>
      </c>
      <c r="G159" s="19">
        <f t="shared" si="21"/>
        <v>0</v>
      </c>
    </row>
    <row r="160" spans="2:14" x14ac:dyDescent="0.4">
      <c r="B160" s="6" t="s">
        <v>330</v>
      </c>
      <c r="C160" s="20" t="s">
        <v>331</v>
      </c>
      <c r="D160" s="17">
        <f>VLOOKUP(B160,BS!$A:$S,5,FALSE)</f>
        <v>0</v>
      </c>
      <c r="E160" s="17">
        <f>VLOOKUP(B160,BS!$A:$S,18,FALSE)</f>
        <v>0</v>
      </c>
      <c r="F160" s="18">
        <f t="shared" si="20"/>
        <v>0</v>
      </c>
      <c r="G160" s="19">
        <f t="shared" si="21"/>
        <v>0</v>
      </c>
    </row>
    <row r="161" spans="2:7" x14ac:dyDescent="0.4">
      <c r="B161" s="6" t="s">
        <v>332</v>
      </c>
      <c r="C161" s="20" t="s">
        <v>333</v>
      </c>
      <c r="D161" s="17">
        <f>VLOOKUP(B161,BS!$A:$S,5,FALSE)</f>
        <v>0</v>
      </c>
      <c r="E161" s="17">
        <f>VLOOKUP(B161,BS!$A:$S,18,FALSE)</f>
        <v>0</v>
      </c>
      <c r="F161" s="18">
        <f t="shared" si="20"/>
        <v>0</v>
      </c>
      <c r="G161" s="19">
        <f t="shared" si="21"/>
        <v>0</v>
      </c>
    </row>
    <row r="162" spans="2:7" x14ac:dyDescent="0.4">
      <c r="B162" s="15" t="s">
        <v>334</v>
      </c>
      <c r="C162" s="16" t="s">
        <v>335</v>
      </c>
      <c r="D162" s="17">
        <f>VLOOKUP(B162,BS!$A:$S,5,FALSE)</f>
        <v>-974528530.20000005</v>
      </c>
      <c r="E162" s="17">
        <f>VLOOKUP(B162,BS!$A:$S,18,FALSE)</f>
        <v>-1127633892.72</v>
      </c>
      <c r="F162" s="18">
        <f t="shared" si="20"/>
        <v>-153105362.51999998</v>
      </c>
      <c r="G162" s="19">
        <f t="shared" si="21"/>
        <v>0.15710711156766088</v>
      </c>
    </row>
    <row r="163" spans="2:7" x14ac:dyDescent="0.4">
      <c r="B163" s="15" t="s">
        <v>336</v>
      </c>
      <c r="C163" s="16" t="s">
        <v>337</v>
      </c>
      <c r="D163" s="17">
        <f>VLOOKUP(B163,BS!$A:$S,5,FALSE)</f>
        <v>495343228.35000002</v>
      </c>
      <c r="E163" s="17">
        <f>VLOOKUP(B163,BS!$A:$S,18,FALSE)</f>
        <v>495343228.35000002</v>
      </c>
      <c r="F163" s="18">
        <f t="shared" si="20"/>
        <v>0</v>
      </c>
      <c r="G163" s="19">
        <f t="shared" si="21"/>
        <v>0</v>
      </c>
    </row>
    <row r="164" spans="2:7" x14ac:dyDescent="0.4">
      <c r="B164" s="6" t="s">
        <v>338</v>
      </c>
      <c r="C164" s="20" t="s">
        <v>339</v>
      </c>
      <c r="D164" s="17">
        <f>VLOOKUP(B164,BS!$A:$S,5,FALSE)</f>
        <v>495343228.35000002</v>
      </c>
      <c r="E164" s="17">
        <f>VLOOKUP(B164,BS!$A:$S,18,FALSE)</f>
        <v>495343228.35000002</v>
      </c>
      <c r="F164" s="18">
        <f t="shared" si="20"/>
        <v>0</v>
      </c>
      <c r="G164" s="19">
        <f t="shared" si="21"/>
        <v>0</v>
      </c>
    </row>
    <row r="165" spans="2:7" x14ac:dyDescent="0.4">
      <c r="B165" s="6" t="s">
        <v>340</v>
      </c>
      <c r="C165" s="20" t="s">
        <v>341</v>
      </c>
      <c r="D165" s="17">
        <f>VLOOKUP(B165,BS!$A:$S,5,FALSE)</f>
        <v>0</v>
      </c>
      <c r="E165" s="17">
        <f>VLOOKUP(B165,BS!$A:$S,18,FALSE)</f>
        <v>0</v>
      </c>
      <c r="F165" s="18">
        <f t="shared" si="20"/>
        <v>0</v>
      </c>
      <c r="G165" s="19">
        <f t="shared" si="21"/>
        <v>0</v>
      </c>
    </row>
    <row r="166" spans="2:7" x14ac:dyDescent="0.4">
      <c r="B166" s="15" t="s">
        <v>342</v>
      </c>
      <c r="C166" s="16" t="s">
        <v>343</v>
      </c>
      <c r="D166" s="17">
        <f>VLOOKUP(B166,BS!$A:$S,5,FALSE)</f>
        <v>0</v>
      </c>
      <c r="E166" s="17">
        <f>VLOOKUP(B166,BS!$A:$S,18,FALSE)</f>
        <v>0</v>
      </c>
      <c r="F166" s="18">
        <f t="shared" si="20"/>
        <v>0</v>
      </c>
      <c r="G166" s="19">
        <f t="shared" si="21"/>
        <v>0</v>
      </c>
    </row>
    <row r="167" spans="2:7" x14ac:dyDescent="0.4">
      <c r="B167" s="6" t="s">
        <v>344</v>
      </c>
      <c r="C167" s="20" t="s">
        <v>345</v>
      </c>
      <c r="D167" s="17">
        <f>VLOOKUP(B167,BS!$A:$S,5,FALSE)</f>
        <v>0</v>
      </c>
      <c r="E167" s="17">
        <f>VLOOKUP(B167,BS!$A:$S,18,FALSE)</f>
        <v>0</v>
      </c>
      <c r="F167" s="18">
        <f t="shared" si="20"/>
        <v>0</v>
      </c>
      <c r="G167" s="19">
        <f t="shared" si="21"/>
        <v>0</v>
      </c>
    </row>
    <row r="168" spans="2:7" x14ac:dyDescent="0.4">
      <c r="B168" s="6" t="s">
        <v>346</v>
      </c>
      <c r="C168" s="20" t="s">
        <v>347</v>
      </c>
      <c r="D168" s="17">
        <f>VLOOKUP(B168,BS!$A:$S,5,FALSE)</f>
        <v>0</v>
      </c>
      <c r="E168" s="17">
        <f>VLOOKUP(B168,BS!$A:$S,18,FALSE)</f>
        <v>0</v>
      </c>
      <c r="F168" s="18">
        <f t="shared" si="20"/>
        <v>0</v>
      </c>
      <c r="G168" s="19">
        <f t="shared" si="21"/>
        <v>0</v>
      </c>
    </row>
    <row r="169" spans="2:7" x14ac:dyDescent="0.4">
      <c r="B169" s="6" t="s">
        <v>348</v>
      </c>
      <c r="C169" s="20" t="s">
        <v>349</v>
      </c>
      <c r="D169" s="17">
        <f>VLOOKUP(B169,BS!$A:$S,5,FALSE)</f>
        <v>0</v>
      </c>
      <c r="E169" s="17">
        <f>VLOOKUP(B169,BS!$A:$S,18,FALSE)</f>
        <v>0</v>
      </c>
      <c r="F169" s="18">
        <f t="shared" si="20"/>
        <v>0</v>
      </c>
      <c r="G169" s="19">
        <f t="shared" si="21"/>
        <v>0</v>
      </c>
    </row>
    <row r="170" spans="2:7" x14ac:dyDescent="0.4">
      <c r="B170" s="6" t="s">
        <v>350</v>
      </c>
      <c r="C170" s="20" t="s">
        <v>351</v>
      </c>
      <c r="D170" s="17">
        <f>VLOOKUP(B170,BS!$A:$S,5,FALSE)</f>
        <v>0</v>
      </c>
      <c r="E170" s="17">
        <f>VLOOKUP(B170,BS!$A:$S,18,FALSE)</f>
        <v>0</v>
      </c>
      <c r="F170" s="18">
        <f t="shared" si="20"/>
        <v>0</v>
      </c>
      <c r="G170" s="19">
        <f t="shared" si="21"/>
        <v>0</v>
      </c>
    </row>
    <row r="171" spans="2:7" x14ac:dyDescent="0.4">
      <c r="B171" s="6" t="s">
        <v>352</v>
      </c>
      <c r="C171" s="20" t="s">
        <v>353</v>
      </c>
      <c r="D171" s="17">
        <f>VLOOKUP(B171,BS!$A:$S,5,FALSE)</f>
        <v>0</v>
      </c>
      <c r="E171" s="17">
        <f>VLOOKUP(B171,BS!$A:$S,18,FALSE)</f>
        <v>0</v>
      </c>
      <c r="F171" s="18">
        <f t="shared" si="20"/>
        <v>0</v>
      </c>
      <c r="G171" s="19">
        <f t="shared" si="21"/>
        <v>0</v>
      </c>
    </row>
    <row r="172" spans="2:7" x14ac:dyDescent="0.4">
      <c r="B172" s="6" t="s">
        <v>354</v>
      </c>
      <c r="C172" s="20" t="s">
        <v>355</v>
      </c>
      <c r="D172" s="17">
        <f>VLOOKUP(B172,BS!$A:$S,5,FALSE)</f>
        <v>0</v>
      </c>
      <c r="E172" s="17">
        <f>VLOOKUP(B172,BS!$A:$S,18,FALSE)</f>
        <v>0</v>
      </c>
      <c r="F172" s="18">
        <f t="shared" si="20"/>
        <v>0</v>
      </c>
      <c r="G172" s="19">
        <f t="shared" si="21"/>
        <v>0</v>
      </c>
    </row>
    <row r="173" spans="2:7" x14ac:dyDescent="0.4">
      <c r="B173" s="6" t="s">
        <v>356</v>
      </c>
      <c r="C173" s="20" t="s">
        <v>357</v>
      </c>
      <c r="D173" s="17">
        <f>VLOOKUP(B173,BS!$A:$S,5,FALSE)</f>
        <v>0</v>
      </c>
      <c r="E173" s="17">
        <f>VLOOKUP(B173,BS!$A:$S,18,FALSE)</f>
        <v>0</v>
      </c>
      <c r="F173" s="18">
        <f t="shared" si="20"/>
        <v>0</v>
      </c>
      <c r="G173" s="19">
        <f t="shared" si="21"/>
        <v>0</v>
      </c>
    </row>
    <row r="174" spans="2:7" x14ac:dyDescent="0.4">
      <c r="B174" s="15" t="s">
        <v>358</v>
      </c>
      <c r="C174" s="16" t="s">
        <v>359</v>
      </c>
      <c r="D174" s="17">
        <f>VLOOKUP(B174,BS!$A:$S,5,FALSE)</f>
        <v>0</v>
      </c>
      <c r="E174" s="17">
        <f>VLOOKUP(B174,BS!$A:$S,18,FALSE)</f>
        <v>0</v>
      </c>
      <c r="F174" s="18">
        <f t="shared" si="20"/>
        <v>0</v>
      </c>
      <c r="G174" s="19">
        <f t="shared" si="21"/>
        <v>0</v>
      </c>
    </row>
    <row r="175" spans="2:7" x14ac:dyDescent="0.4">
      <c r="B175" s="6" t="s">
        <v>360</v>
      </c>
      <c r="C175" s="20" t="s">
        <v>361</v>
      </c>
      <c r="D175" s="17">
        <f>VLOOKUP(B175,BS!$A:$S,5,FALSE)</f>
        <v>0</v>
      </c>
      <c r="E175" s="17">
        <f>VLOOKUP(B175,BS!$A:$S,18,FALSE)</f>
        <v>0</v>
      </c>
      <c r="F175" s="18">
        <f t="shared" si="20"/>
        <v>0</v>
      </c>
      <c r="G175" s="19">
        <f t="shared" si="21"/>
        <v>0</v>
      </c>
    </row>
    <row r="176" spans="2:7" x14ac:dyDescent="0.4">
      <c r="B176" s="6" t="s">
        <v>362</v>
      </c>
      <c r="C176" s="20" t="s">
        <v>363</v>
      </c>
      <c r="D176" s="17">
        <f>VLOOKUP(B176,BS!$A:$S,5,FALSE)</f>
        <v>0</v>
      </c>
      <c r="E176" s="17">
        <f>VLOOKUP(B176,BS!$A:$S,18,FALSE)</f>
        <v>0</v>
      </c>
      <c r="F176" s="18">
        <f t="shared" si="20"/>
        <v>0</v>
      </c>
      <c r="G176" s="19">
        <f t="shared" si="21"/>
        <v>0</v>
      </c>
    </row>
    <row r="177" spans="2:7" x14ac:dyDescent="0.4">
      <c r="B177" s="6" t="s">
        <v>364</v>
      </c>
      <c r="C177" s="20" t="s">
        <v>365</v>
      </c>
      <c r="D177" s="17">
        <f>VLOOKUP(B177,BS!$A:$S,5,FALSE)</f>
        <v>0</v>
      </c>
      <c r="E177" s="17">
        <f>VLOOKUP(B177,BS!$A:$S,18,FALSE)</f>
        <v>0</v>
      </c>
      <c r="F177" s="18">
        <f t="shared" si="20"/>
        <v>0</v>
      </c>
      <c r="G177" s="19">
        <f t="shared" si="21"/>
        <v>0</v>
      </c>
    </row>
    <row r="178" spans="2:7" x14ac:dyDescent="0.4">
      <c r="B178" s="6" t="s">
        <v>366</v>
      </c>
      <c r="C178" s="20" t="s">
        <v>367</v>
      </c>
      <c r="D178" s="17">
        <f>VLOOKUP(B178,BS!$A:$S,5,FALSE)</f>
        <v>0</v>
      </c>
      <c r="E178" s="17">
        <f>VLOOKUP(B178,BS!$A:$S,18,FALSE)</f>
        <v>0</v>
      </c>
      <c r="F178" s="18">
        <f t="shared" si="20"/>
        <v>0</v>
      </c>
      <c r="G178" s="19">
        <f t="shared" si="21"/>
        <v>0</v>
      </c>
    </row>
    <row r="179" spans="2:7" x14ac:dyDescent="0.4">
      <c r="B179" s="6" t="s">
        <v>368</v>
      </c>
      <c r="C179" s="20" t="s">
        <v>369</v>
      </c>
      <c r="D179" s="17">
        <f>VLOOKUP(B179,BS!$A:$S,5,FALSE)</f>
        <v>0</v>
      </c>
      <c r="E179" s="17">
        <f>VLOOKUP(B179,BS!$A:$S,18,FALSE)</f>
        <v>0</v>
      </c>
      <c r="F179" s="18">
        <f t="shared" si="20"/>
        <v>0</v>
      </c>
      <c r="G179" s="19">
        <f t="shared" si="21"/>
        <v>0</v>
      </c>
    </row>
    <row r="180" spans="2:7" x14ac:dyDescent="0.4">
      <c r="B180" s="6" t="s">
        <v>370</v>
      </c>
      <c r="C180" s="20" t="s">
        <v>371</v>
      </c>
      <c r="D180" s="17">
        <f>VLOOKUP(B180,BS!$A:$S,5,FALSE)</f>
        <v>0</v>
      </c>
      <c r="E180" s="17">
        <f>VLOOKUP(B180,BS!$A:$S,18,FALSE)</f>
        <v>0</v>
      </c>
      <c r="F180" s="18">
        <f t="shared" si="20"/>
        <v>0</v>
      </c>
      <c r="G180" s="19">
        <f t="shared" si="21"/>
        <v>0</v>
      </c>
    </row>
    <row r="181" spans="2:7" x14ac:dyDescent="0.4">
      <c r="B181" s="6" t="s">
        <v>372</v>
      </c>
      <c r="C181" s="20" t="s">
        <v>373</v>
      </c>
      <c r="D181" s="17">
        <f>VLOOKUP(B181,BS!$A:$S,5,FALSE)</f>
        <v>0</v>
      </c>
      <c r="E181" s="17">
        <f>VLOOKUP(B181,BS!$A:$S,18,FALSE)</f>
        <v>0</v>
      </c>
      <c r="F181" s="18">
        <f t="shared" si="20"/>
        <v>0</v>
      </c>
      <c r="G181" s="19">
        <f t="shared" si="21"/>
        <v>0</v>
      </c>
    </row>
    <row r="182" spans="2:7" x14ac:dyDescent="0.4">
      <c r="B182" s="15" t="s">
        <v>374</v>
      </c>
      <c r="C182" s="16" t="s">
        <v>375</v>
      </c>
      <c r="D182" s="17">
        <f>VLOOKUP(B182,BS!$A:$S,5,FALSE)</f>
        <v>0</v>
      </c>
      <c r="E182" s="17">
        <f>VLOOKUP(B182,BS!$A:$S,18,FALSE)</f>
        <v>0</v>
      </c>
      <c r="F182" s="18">
        <f t="shared" si="20"/>
        <v>0</v>
      </c>
      <c r="G182" s="19">
        <f t="shared" si="21"/>
        <v>0</v>
      </c>
    </row>
    <row r="183" spans="2:7" x14ac:dyDescent="0.4">
      <c r="B183" s="6" t="s">
        <v>376</v>
      </c>
      <c r="C183" s="20" t="s">
        <v>377</v>
      </c>
      <c r="D183" s="17">
        <f>VLOOKUP(B183,BS!$A:$S,5,FALSE)</f>
        <v>0</v>
      </c>
      <c r="E183" s="17">
        <f>VLOOKUP(B183,BS!$A:$S,18,FALSE)</f>
        <v>0</v>
      </c>
      <c r="F183" s="18">
        <f t="shared" si="20"/>
        <v>0</v>
      </c>
      <c r="G183" s="19">
        <f t="shared" si="21"/>
        <v>0</v>
      </c>
    </row>
    <row r="184" spans="2:7" x14ac:dyDescent="0.4">
      <c r="B184" s="6" t="s">
        <v>378</v>
      </c>
      <c r="C184" s="20" t="s">
        <v>379</v>
      </c>
      <c r="D184" s="17">
        <f>VLOOKUP(B184,BS!$A:$S,5,FALSE)</f>
        <v>0</v>
      </c>
      <c r="E184" s="17">
        <f>VLOOKUP(B184,BS!$A:$S,18,FALSE)</f>
        <v>0</v>
      </c>
      <c r="F184" s="18">
        <f t="shared" si="20"/>
        <v>0</v>
      </c>
      <c r="G184" s="19">
        <f t="shared" si="21"/>
        <v>0</v>
      </c>
    </row>
    <row r="185" spans="2:7" x14ac:dyDescent="0.4">
      <c r="B185" s="6" t="s">
        <v>380</v>
      </c>
      <c r="C185" s="20" t="s">
        <v>381</v>
      </c>
      <c r="D185" s="17">
        <f>VLOOKUP(B185,BS!$A:$S,5,FALSE)</f>
        <v>0</v>
      </c>
      <c r="E185" s="17">
        <f>VLOOKUP(B185,BS!$A:$S,18,FALSE)</f>
        <v>0</v>
      </c>
      <c r="F185" s="18">
        <f t="shared" si="20"/>
        <v>0</v>
      </c>
      <c r="G185" s="19">
        <f t="shared" si="21"/>
        <v>0</v>
      </c>
    </row>
    <row r="186" spans="2:7" x14ac:dyDescent="0.4">
      <c r="B186" s="6" t="s">
        <v>382</v>
      </c>
      <c r="C186" s="20" t="s">
        <v>383</v>
      </c>
      <c r="D186" s="17">
        <f>VLOOKUP(B186,BS!$A:$S,5,FALSE)</f>
        <v>0</v>
      </c>
      <c r="E186" s="17">
        <f>VLOOKUP(B186,BS!$A:$S,18,FALSE)</f>
        <v>0</v>
      </c>
      <c r="F186" s="18">
        <f t="shared" si="20"/>
        <v>0</v>
      </c>
      <c r="G186" s="19">
        <f t="shared" si="21"/>
        <v>0</v>
      </c>
    </row>
    <row r="187" spans="2:7" x14ac:dyDescent="0.4">
      <c r="B187" s="6" t="s">
        <v>384</v>
      </c>
      <c r="C187" s="20" t="s">
        <v>385</v>
      </c>
      <c r="D187" s="17">
        <f>VLOOKUP(B187,BS!$A:$S,5,FALSE)</f>
        <v>0</v>
      </c>
      <c r="E187" s="17">
        <f>VLOOKUP(B187,BS!$A:$S,18,FALSE)</f>
        <v>0</v>
      </c>
      <c r="F187" s="18">
        <f t="shared" si="20"/>
        <v>0</v>
      </c>
      <c r="G187" s="19">
        <f t="shared" si="21"/>
        <v>0</v>
      </c>
    </row>
    <row r="188" spans="2:7" x14ac:dyDescent="0.4">
      <c r="B188" s="15" t="s">
        <v>386</v>
      </c>
      <c r="C188" s="16" t="s">
        <v>387</v>
      </c>
      <c r="D188" s="17">
        <f>VLOOKUP(B188,BS!$A:$S,5,FALSE)</f>
        <v>-1469871758.55</v>
      </c>
      <c r="E188" s="17">
        <f>VLOOKUP(B188,BS!$A:$S,18,FALSE)</f>
        <v>-1622977121.0699999</v>
      </c>
      <c r="F188" s="18">
        <f t="shared" si="20"/>
        <v>-153105362.51999998</v>
      </c>
      <c r="G188" s="19">
        <f t="shared" si="21"/>
        <v>0.10416239486840366</v>
      </c>
    </row>
    <row r="189" spans="2:7" x14ac:dyDescent="0.4">
      <c r="B189" s="6" t="s">
        <v>388</v>
      </c>
      <c r="C189" s="20" t="s">
        <v>389</v>
      </c>
      <c r="D189" s="17">
        <f>VLOOKUP(B189,BS!$A:$S,5,FALSE)</f>
        <v>0</v>
      </c>
      <c r="E189" s="17">
        <f>VLOOKUP(B189,BS!$A:$S,18,FALSE)</f>
        <v>0</v>
      </c>
      <c r="F189" s="18">
        <f t="shared" si="20"/>
        <v>0</v>
      </c>
      <c r="G189" s="19">
        <f t="shared" si="21"/>
        <v>0</v>
      </c>
    </row>
    <row r="190" spans="2:7" x14ac:dyDescent="0.4">
      <c r="B190" s="6" t="s">
        <v>390</v>
      </c>
      <c r="C190" s="20" t="s">
        <v>391</v>
      </c>
      <c r="D190" s="17">
        <f>VLOOKUP(B190,BS!$A:$S,5,FALSE)</f>
        <v>0</v>
      </c>
      <c r="E190" s="17">
        <f>VLOOKUP(B190,BS!$A:$S,18,FALSE)</f>
        <v>0</v>
      </c>
      <c r="F190" s="18">
        <f t="shared" si="20"/>
        <v>0</v>
      </c>
      <c r="G190" s="19">
        <f t="shared" si="21"/>
        <v>0</v>
      </c>
    </row>
    <row r="191" spans="2:7" x14ac:dyDescent="0.4">
      <c r="B191" s="6" t="s">
        <v>392</v>
      </c>
      <c r="C191" s="20" t="s">
        <v>393</v>
      </c>
      <c r="D191" s="17">
        <f>VLOOKUP(B191,BS!$A:$S,5,FALSE)</f>
        <v>0</v>
      </c>
      <c r="E191" s="17">
        <f>VLOOKUP(B191,BS!$A:$S,18,FALSE)</f>
        <v>0</v>
      </c>
      <c r="F191" s="18">
        <f t="shared" si="20"/>
        <v>0</v>
      </c>
      <c r="G191" s="19">
        <f t="shared" si="21"/>
        <v>0</v>
      </c>
    </row>
    <row r="192" spans="2:7" x14ac:dyDescent="0.4">
      <c r="B192" s="6" t="s">
        <v>394</v>
      </c>
      <c r="C192" s="20" t="s">
        <v>395</v>
      </c>
      <c r="D192" s="17">
        <f>VLOOKUP(B192,BS!$A:$S,5,FALSE)</f>
        <v>0</v>
      </c>
      <c r="E192" s="17">
        <f>VLOOKUP(B192,BS!$A:$S,18,FALSE)</f>
        <v>0</v>
      </c>
      <c r="F192" s="18">
        <f t="shared" si="20"/>
        <v>0</v>
      </c>
      <c r="G192" s="19">
        <f t="shared" si="21"/>
        <v>0</v>
      </c>
    </row>
    <row r="193" spans="2:7" x14ac:dyDescent="0.4">
      <c r="B193" s="6" t="s">
        <v>396</v>
      </c>
      <c r="C193" s="20" t="s">
        <v>397</v>
      </c>
      <c r="D193" s="17">
        <f>VLOOKUP(B193,BS!$A:$S,5,FALSE)</f>
        <v>0</v>
      </c>
      <c r="E193" s="17">
        <f>VLOOKUP(B193,BS!$A:$S,18,FALSE)</f>
        <v>0</v>
      </c>
      <c r="F193" s="18">
        <f t="shared" si="20"/>
        <v>0</v>
      </c>
      <c r="G193" s="19">
        <f t="shared" si="21"/>
        <v>0</v>
      </c>
    </row>
    <row r="194" spans="2:7" x14ac:dyDescent="0.4">
      <c r="B194" s="6" t="s">
        <v>398</v>
      </c>
      <c r="C194" s="20" t="s">
        <v>399</v>
      </c>
      <c r="D194" s="17">
        <f>VLOOKUP(B194,BS!$A:$S,5,FALSE)</f>
        <v>-545108455.63</v>
      </c>
      <c r="E194" s="17">
        <f>VLOOKUP(B194,BS!$A:$S,18,FALSE)</f>
        <v>-1469871758.55</v>
      </c>
      <c r="F194" s="18">
        <f t="shared" si="20"/>
        <v>-924763302.91999996</v>
      </c>
      <c r="G194" s="19">
        <f t="shared" si="21"/>
        <v>1.6964757992081048</v>
      </c>
    </row>
    <row r="195" spans="2:7" x14ac:dyDescent="0.4">
      <c r="B195" s="6" t="s">
        <v>400</v>
      </c>
      <c r="C195" s="20" t="s">
        <v>401</v>
      </c>
      <c r="D195" s="17">
        <f>VLOOKUP(B195,BS!$A:$S,5,FALSE)</f>
        <v>-924763302.91999996</v>
      </c>
      <c r="E195" s="17">
        <f>VLOOKUP(B195,BS!$A:$S,18,FALSE)</f>
        <v>-153105362.52000001</v>
      </c>
      <c r="F195" s="18">
        <f t="shared" si="20"/>
        <v>771657940.39999998</v>
      </c>
      <c r="G195" s="19">
        <f t="shared" si="21"/>
        <v>-0.83443832379965788</v>
      </c>
    </row>
    <row r="196" spans="2:7" x14ac:dyDescent="0.4">
      <c r="B196" s="15" t="s">
        <v>402</v>
      </c>
      <c r="C196" s="16" t="s">
        <v>403</v>
      </c>
      <c r="D196" s="17">
        <f>VLOOKUP(B196,BS!$A:$S,5,FALSE)</f>
        <v>0</v>
      </c>
      <c r="E196" s="17">
        <f>VLOOKUP(B196,BS!$A:$S,18,FALSE)</f>
        <v>0</v>
      </c>
      <c r="F196" s="18">
        <f t="shared" ref="F196:F205" si="26">E196-D196</f>
        <v>0</v>
      </c>
      <c r="G196" s="19">
        <f t="shared" ref="G196:G205" si="27">IFERROR(F196/D196,0)</f>
        <v>0</v>
      </c>
    </row>
    <row r="197" spans="2:7" x14ac:dyDescent="0.4">
      <c r="B197" s="6" t="s">
        <v>404</v>
      </c>
      <c r="C197" s="20" t="s">
        <v>405</v>
      </c>
      <c r="D197" s="17">
        <f>VLOOKUP(B197,BS!$A:$S,5,FALSE)</f>
        <v>0</v>
      </c>
      <c r="E197" s="17">
        <f>VLOOKUP(B197,BS!$A:$S,18,FALSE)</f>
        <v>0</v>
      </c>
      <c r="F197" s="18">
        <f t="shared" si="26"/>
        <v>0</v>
      </c>
      <c r="G197" s="19">
        <f t="shared" si="27"/>
        <v>0</v>
      </c>
    </row>
    <row r="198" spans="2:7" x14ac:dyDescent="0.4">
      <c r="B198" s="6" t="s">
        <v>406</v>
      </c>
      <c r="C198" s="20" t="s">
        <v>407</v>
      </c>
      <c r="D198" s="17">
        <f>VLOOKUP(B198,BS!$A:$S,5,FALSE)</f>
        <v>0</v>
      </c>
      <c r="E198" s="17">
        <f>VLOOKUP(B198,BS!$A:$S,18,FALSE)</f>
        <v>0</v>
      </c>
      <c r="F198" s="18">
        <f t="shared" si="26"/>
        <v>0</v>
      </c>
      <c r="G198" s="19">
        <f t="shared" si="27"/>
        <v>0</v>
      </c>
    </row>
    <row r="199" spans="2:7" x14ac:dyDescent="0.4">
      <c r="B199" s="6" t="s">
        <v>408</v>
      </c>
      <c r="C199" s="20" t="s">
        <v>409</v>
      </c>
      <c r="D199" s="17">
        <f>VLOOKUP(B199,BS!$A:$S,5,FALSE)</f>
        <v>0</v>
      </c>
      <c r="E199" s="17">
        <f>VLOOKUP(B199,BS!$A:$S,18,FALSE)</f>
        <v>0</v>
      </c>
      <c r="F199" s="18">
        <f t="shared" si="26"/>
        <v>0</v>
      </c>
      <c r="G199" s="19">
        <f t="shared" si="27"/>
        <v>0</v>
      </c>
    </row>
    <row r="200" spans="2:7" x14ac:dyDescent="0.4">
      <c r="B200" s="6" t="s">
        <v>410</v>
      </c>
      <c r="C200" s="20" t="s">
        <v>411</v>
      </c>
      <c r="D200" s="17">
        <f>VLOOKUP(B200,BS!$A:$S,5,FALSE)</f>
        <v>0</v>
      </c>
      <c r="E200" s="17">
        <f>VLOOKUP(B200,BS!$A:$S,18,FALSE)</f>
        <v>0</v>
      </c>
      <c r="F200" s="18">
        <f t="shared" si="26"/>
        <v>0</v>
      </c>
      <c r="G200" s="19">
        <f t="shared" si="27"/>
        <v>0</v>
      </c>
    </row>
    <row r="201" spans="2:7" x14ac:dyDescent="0.4">
      <c r="B201" s="6" t="s">
        <v>412</v>
      </c>
      <c r="C201" s="20" t="s">
        <v>413</v>
      </c>
      <c r="D201" s="17">
        <f>VLOOKUP(B201,BS!$A:$S,5,FALSE)</f>
        <v>0</v>
      </c>
      <c r="E201" s="17">
        <f>VLOOKUP(B201,BS!$A:$S,18,FALSE)</f>
        <v>0</v>
      </c>
      <c r="F201" s="18">
        <f t="shared" si="26"/>
        <v>0</v>
      </c>
      <c r="G201" s="19">
        <f t="shared" si="27"/>
        <v>0</v>
      </c>
    </row>
    <row r="202" spans="2:7" x14ac:dyDescent="0.4">
      <c r="B202" s="6" t="s">
        <v>414</v>
      </c>
      <c r="C202" s="20" t="s">
        <v>415</v>
      </c>
      <c r="D202" s="17">
        <f>VLOOKUP(B202,BS!$A:$S,5,FALSE)</f>
        <v>0</v>
      </c>
      <c r="E202" s="17">
        <f>VLOOKUP(B202,BS!$A:$S,18,FALSE)</f>
        <v>0</v>
      </c>
      <c r="F202" s="18">
        <f t="shared" si="26"/>
        <v>0</v>
      </c>
      <c r="G202" s="19">
        <f t="shared" si="27"/>
        <v>0</v>
      </c>
    </row>
    <row r="203" spans="2:7" x14ac:dyDescent="0.4">
      <c r="B203" s="6" t="s">
        <v>416</v>
      </c>
      <c r="C203" s="20" t="s">
        <v>417</v>
      </c>
      <c r="D203" s="17">
        <f>VLOOKUP(B203,BS!$A:$S,5,FALSE)</f>
        <v>0</v>
      </c>
      <c r="E203" s="17">
        <f>VLOOKUP(B203,BS!$A:$S,18,FALSE)</f>
        <v>0</v>
      </c>
      <c r="F203" s="18">
        <f t="shared" si="26"/>
        <v>0</v>
      </c>
      <c r="G203" s="19">
        <f t="shared" si="27"/>
        <v>0</v>
      </c>
    </row>
    <row r="204" spans="2:7" x14ac:dyDescent="0.4">
      <c r="B204" s="6" t="s">
        <v>418</v>
      </c>
      <c r="C204" s="20" t="s">
        <v>403</v>
      </c>
      <c r="D204" s="17">
        <f>VLOOKUP(B204,BS!$A:$S,5,FALSE)</f>
        <v>0</v>
      </c>
      <c r="E204" s="17">
        <f>VLOOKUP(B204,BS!$A:$S,18,FALSE)</f>
        <v>0</v>
      </c>
      <c r="F204" s="18">
        <f t="shared" si="26"/>
        <v>0</v>
      </c>
      <c r="G204" s="19">
        <f t="shared" si="27"/>
        <v>0</v>
      </c>
    </row>
    <row r="205" spans="2:7" x14ac:dyDescent="0.4">
      <c r="B205" s="15" t="s">
        <v>419</v>
      </c>
      <c r="C205" s="25" t="s">
        <v>420</v>
      </c>
      <c r="D205" s="22">
        <f>VLOOKUP(B205,BS!$A:$S,5,FALSE)</f>
        <v>2879211546.1900001</v>
      </c>
      <c r="E205" s="22">
        <f>VLOOKUP(B205,BS!$A:$S,18,FALSE)</f>
        <v>2494183256.1700001</v>
      </c>
      <c r="F205" s="23">
        <f t="shared" si="26"/>
        <v>-385028290.01999998</v>
      </c>
      <c r="G205" s="24">
        <f t="shared" si="27"/>
        <v>-0.13372698874089325</v>
      </c>
    </row>
  </sheetData>
  <autoFilter ref="C3:N205" xr:uid="{F0124AAA-D112-44A4-866F-85B4211F62CA}"/>
  <mergeCells count="8">
    <mergeCell ref="F2:G2"/>
    <mergeCell ref="M2:N2"/>
    <mergeCell ref="P1:Q1"/>
    <mergeCell ref="P21:Q21"/>
    <mergeCell ref="P13:Q13"/>
    <mergeCell ref="P9:Q9"/>
    <mergeCell ref="P5:Q5"/>
    <mergeCell ref="P17:Q17"/>
  </mergeCells>
  <phoneticPr fontId="3" type="noConversion"/>
  <conditionalFormatting sqref="N4:N149 G4:G205">
    <cfRule type="cellIs" dxfId="1" priority="5" operator="lessThan">
      <formula>-0.09</formula>
    </cfRule>
    <cfRule type="cellIs" dxfId="0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B2:C1048576 I1:J1048576" xr:uid="{1434F012-8FE1-4AE5-9BFE-2F6322353B7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6AFC-7802-46D2-A676-2ADD6E95F0FD}">
  <dimension ref="A1:AB204"/>
  <sheetViews>
    <sheetView tabSelected="1" topLeftCell="D56" zoomScale="85" zoomScaleNormal="85" workbookViewId="0">
      <selection activeCell="X83" sqref="X83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21" width="7.19921875" style="1"/>
    <col min="22" max="24" width="7.19921875" style="48"/>
    <col min="25" max="26" width="7.19921875" style="1"/>
    <col min="27" max="28" width="8.19921875" style="1" bestFit="1" customWidth="1"/>
    <col min="29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</row>
    <row r="2" spans="1:20" ht="15" customHeight="1" x14ac:dyDescent="0.4">
      <c r="A2" s="37" t="s">
        <v>20</v>
      </c>
      <c r="B2" s="38" t="s">
        <v>21</v>
      </c>
      <c r="C2" s="39">
        <v>-245375534.55000001</v>
      </c>
      <c r="D2" s="39">
        <v>4264932019.8899999</v>
      </c>
      <c r="E2" s="39">
        <v>2879211546.1900001</v>
      </c>
      <c r="F2" s="39">
        <v>-243444202.91999999</v>
      </c>
      <c r="G2" s="39">
        <v>-43115787.979999997</v>
      </c>
      <c r="H2" s="39">
        <v>-98468299.120000005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2494183256.1700001</v>
      </c>
      <c r="S2" s="39">
        <v>-385028290.01999998</v>
      </c>
      <c r="T2" s="41">
        <v>2</v>
      </c>
    </row>
    <row r="3" spans="1:20" ht="15" customHeight="1" x14ac:dyDescent="0.4">
      <c r="A3" s="37" t="s">
        <v>22</v>
      </c>
      <c r="B3" s="38" t="s">
        <v>23</v>
      </c>
      <c r="C3" s="39">
        <v>-242585397.06</v>
      </c>
      <c r="D3" s="39">
        <v>4021670630.2199998</v>
      </c>
      <c r="E3" s="39">
        <v>2652770038.8000002</v>
      </c>
      <c r="F3" s="39">
        <v>-240341625.81</v>
      </c>
      <c r="G3" s="39">
        <v>-38623233.100000001</v>
      </c>
      <c r="H3" s="39">
        <v>-90754999.760000005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2283050180.1300001</v>
      </c>
      <c r="S3" s="39">
        <v>-369719858.67000002</v>
      </c>
      <c r="T3" s="41">
        <v>2</v>
      </c>
    </row>
    <row r="4" spans="1:20" ht="15" customHeight="1" x14ac:dyDescent="0.4">
      <c r="A4" s="37" t="s">
        <v>24</v>
      </c>
      <c r="B4" s="38" t="s">
        <v>25</v>
      </c>
      <c r="C4" s="39">
        <v>-90156755.180000007</v>
      </c>
      <c r="D4" s="39">
        <v>2301067550.3699999</v>
      </c>
      <c r="E4" s="39">
        <v>1516271382.21</v>
      </c>
      <c r="F4" s="39">
        <v>-97337322.569999993</v>
      </c>
      <c r="G4" s="39">
        <v>-138836636.03999999</v>
      </c>
      <c r="H4" s="39">
        <v>-106304908.48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39">
        <v>1173792515.1199999</v>
      </c>
      <c r="S4" s="39">
        <v>-342478867.08999997</v>
      </c>
      <c r="T4" s="41">
        <v>2</v>
      </c>
    </row>
    <row r="5" spans="1:20" ht="15" customHeight="1" x14ac:dyDescent="0.4">
      <c r="A5" s="42" t="s">
        <v>26</v>
      </c>
      <c r="B5" s="41" t="s">
        <v>27</v>
      </c>
      <c r="C5" s="43">
        <v>-145779849.16999999</v>
      </c>
      <c r="D5" s="43">
        <v>210364938.53999999</v>
      </c>
      <c r="E5" s="43">
        <v>604133747.91999996</v>
      </c>
      <c r="F5" s="43">
        <v>-9089971.3100000005</v>
      </c>
      <c r="G5" s="43">
        <v>-49303849.759999998</v>
      </c>
      <c r="H5" s="43">
        <v>-66584889.030000001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479155037.81999999</v>
      </c>
      <c r="S5" s="43">
        <v>-124978710.09999999</v>
      </c>
      <c r="T5" s="41">
        <v>1</v>
      </c>
    </row>
    <row r="6" spans="1:20" ht="15" customHeight="1" x14ac:dyDescent="0.4">
      <c r="A6" s="42" t="s">
        <v>28</v>
      </c>
      <c r="B6" s="41" t="s">
        <v>29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1">
        <v>1</v>
      </c>
    </row>
    <row r="7" spans="1:20" ht="15" customHeight="1" x14ac:dyDescent="0.4">
      <c r="A7" s="42" t="s">
        <v>30</v>
      </c>
      <c r="B7" s="41" t="s">
        <v>31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1">
        <v>1</v>
      </c>
    </row>
    <row r="8" spans="1:20" ht="15" customHeight="1" x14ac:dyDescent="0.4">
      <c r="A8" s="42" t="s">
        <v>32</v>
      </c>
      <c r="B8" s="41" t="s">
        <v>33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34</v>
      </c>
      <c r="B9" s="41" t="s">
        <v>35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36</v>
      </c>
      <c r="B10" s="41" t="s">
        <v>37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38</v>
      </c>
      <c r="B11" s="41" t="s">
        <v>39</v>
      </c>
      <c r="C11" s="43">
        <v>-42993392.960000001</v>
      </c>
      <c r="D11" s="43">
        <v>1447749054.47</v>
      </c>
      <c r="E11" s="43">
        <v>712968145.02999997</v>
      </c>
      <c r="F11" s="43">
        <v>-51756790.600000001</v>
      </c>
      <c r="G11" s="43">
        <v>-51958221.990000002</v>
      </c>
      <c r="H11" s="43">
        <v>-48997643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3">
        <v>560255489.44000006</v>
      </c>
      <c r="S11" s="43">
        <v>-152712655.59</v>
      </c>
      <c r="T11" s="41">
        <v>1</v>
      </c>
    </row>
    <row r="12" spans="1:20" ht="15" customHeight="1" x14ac:dyDescent="0.4">
      <c r="A12" s="42" t="s">
        <v>40</v>
      </c>
      <c r="B12" s="41" t="s">
        <v>41</v>
      </c>
      <c r="C12" s="43">
        <v>-83520406.340000004</v>
      </c>
      <c r="D12" s="43">
        <v>-110288420.11</v>
      </c>
      <c r="E12" s="43">
        <v>-182603381.11000001</v>
      </c>
      <c r="F12" s="43">
        <v>-36214593.409999996</v>
      </c>
      <c r="G12" s="43">
        <v>-62705670.530000001</v>
      </c>
      <c r="H12" s="43">
        <v>11325801.25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3">
        <v>-270197843.80000001</v>
      </c>
      <c r="S12" s="43">
        <v>-87594462.689999998</v>
      </c>
      <c r="T12" s="41">
        <v>1</v>
      </c>
    </row>
    <row r="13" spans="1:20" ht="15" customHeight="1" x14ac:dyDescent="0.4">
      <c r="A13" s="42" t="s">
        <v>42</v>
      </c>
      <c r="B13" s="41" t="s">
        <v>43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</v>
      </c>
      <c r="B14" s="41" t="s">
        <v>45</v>
      </c>
      <c r="C14" s="44">
        <v>0</v>
      </c>
      <c r="D14" s="43">
        <v>2795000</v>
      </c>
      <c r="E14" s="43">
        <v>65612313</v>
      </c>
      <c r="F14" s="43">
        <v>1495489.66</v>
      </c>
      <c r="G14" s="43">
        <v>834708</v>
      </c>
      <c r="H14" s="43">
        <v>3058856.65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3">
        <v>71001367.310000002</v>
      </c>
      <c r="S14" s="43">
        <v>5389054.3099999996</v>
      </c>
      <c r="T14" s="41">
        <v>1</v>
      </c>
    </row>
    <row r="15" spans="1:20" ht="15" customHeight="1" x14ac:dyDescent="0.4">
      <c r="A15" s="42" t="s">
        <v>46</v>
      </c>
      <c r="B15" s="41" t="s">
        <v>47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48</v>
      </c>
      <c r="B16" s="41" t="s">
        <v>49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50</v>
      </c>
      <c r="B17" s="41" t="s">
        <v>51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52</v>
      </c>
      <c r="B18" s="41" t="s">
        <v>53</v>
      </c>
      <c r="C18" s="43">
        <v>-1540277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1">
        <v>1</v>
      </c>
    </row>
    <row r="19" spans="1:20" ht="15" customHeight="1" x14ac:dyDescent="0.4">
      <c r="A19" s="42" t="s">
        <v>54</v>
      </c>
      <c r="B19" s="41" t="s">
        <v>55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1">
        <v>1</v>
      </c>
    </row>
    <row r="20" spans="1:20" ht="15" customHeight="1" x14ac:dyDescent="0.4">
      <c r="A20" s="42" t="s">
        <v>56</v>
      </c>
      <c r="B20" s="41" t="s">
        <v>57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1">
        <v>1</v>
      </c>
    </row>
    <row r="21" spans="1:20" ht="15" customHeight="1" x14ac:dyDescent="0.4">
      <c r="A21" s="42" t="s">
        <v>58</v>
      </c>
      <c r="B21" s="41" t="s">
        <v>59</v>
      </c>
      <c r="C21" s="43">
        <v>137849588.62</v>
      </c>
      <c r="D21" s="43">
        <v>548346159.66999996</v>
      </c>
      <c r="E21" s="43">
        <v>265728065.91999999</v>
      </c>
      <c r="F21" s="43">
        <v>5904366.3899999997</v>
      </c>
      <c r="G21" s="43">
        <v>24175968.510000002</v>
      </c>
      <c r="H21" s="43">
        <v>1335048.97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297143449.79000002</v>
      </c>
      <c r="S21" s="43">
        <v>31415383.870000001</v>
      </c>
      <c r="T21" s="41">
        <v>1</v>
      </c>
    </row>
    <row r="22" spans="1:20" ht="15" customHeight="1" x14ac:dyDescent="0.4">
      <c r="A22" s="42" t="s">
        <v>60</v>
      </c>
      <c r="B22" s="41" t="s">
        <v>61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1">
        <v>1</v>
      </c>
    </row>
    <row r="23" spans="1:20" ht="15" customHeight="1" x14ac:dyDescent="0.4">
      <c r="A23" s="42" t="s">
        <v>62</v>
      </c>
      <c r="B23" s="41" t="s">
        <v>63</v>
      </c>
      <c r="C23" s="43">
        <v>4037296.53</v>
      </c>
      <c r="D23" s="43">
        <v>5480822.1699999999</v>
      </c>
      <c r="E23" s="43">
        <v>3856421.5</v>
      </c>
      <c r="F23" s="43">
        <v>1061639.6000000001</v>
      </c>
      <c r="G23" s="43">
        <v>-2186786.14</v>
      </c>
      <c r="H23" s="43">
        <v>-313426.49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3">
        <v>2417848.4700000002</v>
      </c>
      <c r="S23" s="43">
        <v>-1438573.03</v>
      </c>
      <c r="T23" s="41">
        <v>1</v>
      </c>
    </row>
    <row r="24" spans="1:20" ht="15" customHeight="1" x14ac:dyDescent="0.4">
      <c r="A24" s="42" t="s">
        <v>64</v>
      </c>
      <c r="B24" s="41" t="s">
        <v>65</v>
      </c>
      <c r="C24" s="43">
        <v>-4598930</v>
      </c>
      <c r="D24" s="43">
        <v>96844152.390000001</v>
      </c>
      <c r="E24" s="43">
        <v>9686552.9499999993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3">
        <v>9686552.9499999993</v>
      </c>
      <c r="S24" s="44">
        <v>0</v>
      </c>
      <c r="T24" s="41">
        <v>1</v>
      </c>
    </row>
    <row r="25" spans="1:20" ht="15" customHeight="1" x14ac:dyDescent="0.4">
      <c r="A25" s="42" t="s">
        <v>66</v>
      </c>
      <c r="B25" s="41" t="s">
        <v>67</v>
      </c>
      <c r="C25" s="44">
        <v>482.14</v>
      </c>
      <c r="D25" s="43">
        <v>154775.24</v>
      </c>
      <c r="E25" s="44">
        <v>0</v>
      </c>
      <c r="F25" s="43">
        <v>2248900.1</v>
      </c>
      <c r="G25" s="43">
        <v>3168278.87</v>
      </c>
      <c r="H25" s="43">
        <v>3564195.17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3">
        <v>8981374.1400000006</v>
      </c>
      <c r="S25" s="43">
        <v>8981374.1400000006</v>
      </c>
      <c r="T25" s="41">
        <v>1</v>
      </c>
    </row>
    <row r="26" spans="1:20" ht="15" customHeight="1" x14ac:dyDescent="0.4">
      <c r="A26" s="42" t="s">
        <v>68</v>
      </c>
      <c r="B26" s="41" t="s">
        <v>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70</v>
      </c>
      <c r="B27" s="41" t="s">
        <v>71</v>
      </c>
      <c r="C27" s="43">
        <v>13248741</v>
      </c>
      <c r="D27" s="43">
        <v>52636111</v>
      </c>
      <c r="E27" s="43">
        <v>24796957</v>
      </c>
      <c r="F27" s="43">
        <v>-2531536</v>
      </c>
      <c r="G27" s="43">
        <v>-4100130</v>
      </c>
      <c r="H27" s="43">
        <v>-4572804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3">
        <v>13592487</v>
      </c>
      <c r="S27" s="43">
        <v>-11204470</v>
      </c>
      <c r="T27" s="41">
        <v>1</v>
      </c>
    </row>
    <row r="28" spans="1:20" ht="15" customHeight="1" x14ac:dyDescent="0.4">
      <c r="A28" s="42" t="s">
        <v>72</v>
      </c>
      <c r="B28" s="41" t="s">
        <v>73</v>
      </c>
      <c r="C28" s="43">
        <v>33139992</v>
      </c>
      <c r="D28" s="43">
        <v>46984957</v>
      </c>
      <c r="E28" s="43">
        <v>12092560</v>
      </c>
      <c r="F28" s="43">
        <v>-8454827</v>
      </c>
      <c r="G28" s="43">
        <v>3239067</v>
      </c>
      <c r="H28" s="43">
        <v>-5120048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3">
        <v>1756752</v>
      </c>
      <c r="S28" s="43">
        <v>-10335808</v>
      </c>
      <c r="T28" s="41">
        <v>1</v>
      </c>
    </row>
    <row r="29" spans="1:20" ht="15" customHeight="1" x14ac:dyDescent="0.4">
      <c r="A29" s="42" t="s">
        <v>74</v>
      </c>
      <c r="B29" s="41" t="s">
        <v>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76</v>
      </c>
      <c r="B30" s="41" t="s">
        <v>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37" t="s">
        <v>78</v>
      </c>
      <c r="B31" s="38" t="s">
        <v>79</v>
      </c>
      <c r="C31" s="39">
        <v>-152428641.88</v>
      </c>
      <c r="D31" s="39">
        <v>1720603079.8499999</v>
      </c>
      <c r="E31" s="39">
        <v>1136498656.5899999</v>
      </c>
      <c r="F31" s="39">
        <v>-143004303.24000001</v>
      </c>
      <c r="G31" s="39">
        <v>100213402.94</v>
      </c>
      <c r="H31" s="39">
        <v>15549908.720000001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39">
        <v>1109257665.01</v>
      </c>
      <c r="S31" s="39">
        <v>-27240991.579999998</v>
      </c>
      <c r="T31" s="41">
        <v>2</v>
      </c>
    </row>
    <row r="32" spans="1:20" ht="15" customHeight="1" x14ac:dyDescent="0.4">
      <c r="A32" s="37" t="s">
        <v>80</v>
      </c>
      <c r="B32" s="38" t="s">
        <v>81</v>
      </c>
      <c r="C32" s="39">
        <v>-140733754.65000001</v>
      </c>
      <c r="D32" s="39">
        <v>1839074914.6500001</v>
      </c>
      <c r="E32" s="39">
        <v>1442021798.21</v>
      </c>
      <c r="F32" s="39">
        <v>-135979997.97999999</v>
      </c>
      <c r="G32" s="39">
        <v>100909522.98</v>
      </c>
      <c r="H32" s="39">
        <v>27838329.600000001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39">
        <v>1434789652.8099999</v>
      </c>
      <c r="S32" s="39">
        <v>-7232145.4000000004</v>
      </c>
      <c r="T32" s="41">
        <v>2</v>
      </c>
    </row>
    <row r="33" spans="1:20" ht="15" customHeight="1" x14ac:dyDescent="0.4">
      <c r="A33" s="42" t="s">
        <v>82</v>
      </c>
      <c r="B33" s="41" t="s">
        <v>83</v>
      </c>
      <c r="C33" s="43">
        <v>-20453899.66</v>
      </c>
      <c r="D33" s="43">
        <v>236849900.68000001</v>
      </c>
      <c r="E33" s="43">
        <v>262354181.97999999</v>
      </c>
      <c r="F33" s="43">
        <v>-9922272.6199999992</v>
      </c>
      <c r="G33" s="43">
        <v>47154795.960000001</v>
      </c>
      <c r="H33" s="43">
        <v>-35291143.350000001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3">
        <v>264295561.97</v>
      </c>
      <c r="S33" s="43">
        <v>1941379.99</v>
      </c>
      <c r="T33" s="41">
        <v>1</v>
      </c>
    </row>
    <row r="34" spans="1:20" ht="15" customHeight="1" x14ac:dyDescent="0.4">
      <c r="A34" s="42" t="s">
        <v>84</v>
      </c>
      <c r="B34" s="41" t="s">
        <v>85</v>
      </c>
      <c r="C34" s="43">
        <v>-110386582.37</v>
      </c>
      <c r="D34" s="43">
        <v>1508319244.26</v>
      </c>
      <c r="E34" s="43">
        <v>1059950389.34</v>
      </c>
      <c r="F34" s="43">
        <v>-120509493.48</v>
      </c>
      <c r="G34" s="43">
        <v>59195465.07</v>
      </c>
      <c r="H34" s="43">
        <v>58883384.560000002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3">
        <v>1057519745.49</v>
      </c>
      <c r="S34" s="43">
        <v>-2430643.85</v>
      </c>
      <c r="T34" s="41">
        <v>1</v>
      </c>
    </row>
    <row r="35" spans="1:20" ht="15" customHeight="1" x14ac:dyDescent="0.4">
      <c r="A35" s="42" t="s">
        <v>86</v>
      </c>
      <c r="B35" s="41" t="s">
        <v>87</v>
      </c>
      <c r="C35" s="43">
        <v>-5241893.62</v>
      </c>
      <c r="D35" s="43">
        <v>40648391.210000001</v>
      </c>
      <c r="E35" s="43">
        <v>37776413.07</v>
      </c>
      <c r="F35" s="43">
        <v>-3642122.72</v>
      </c>
      <c r="G35" s="43">
        <v>-4610290.16</v>
      </c>
      <c r="H35" s="43">
        <v>1152980.08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3">
        <v>30676980.27</v>
      </c>
      <c r="S35" s="43">
        <v>-7099432.7999999998</v>
      </c>
      <c r="T35" s="41">
        <v>1</v>
      </c>
    </row>
    <row r="36" spans="1:20" ht="15" customHeight="1" x14ac:dyDescent="0.4">
      <c r="A36" s="42" t="s">
        <v>88</v>
      </c>
      <c r="B36" s="41" t="s">
        <v>89</v>
      </c>
      <c r="C36" s="43">
        <v>-4707979.6500000004</v>
      </c>
      <c r="D36" s="43">
        <v>37208912.939999998</v>
      </c>
      <c r="E36" s="43">
        <v>81940813.819999993</v>
      </c>
      <c r="F36" s="43">
        <v>-1906109.16</v>
      </c>
      <c r="G36" s="43">
        <v>-830447.89</v>
      </c>
      <c r="H36" s="43">
        <v>3093108.31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3">
        <v>82297365.079999998</v>
      </c>
      <c r="S36" s="43">
        <v>356551.26</v>
      </c>
      <c r="T36" s="41">
        <v>1</v>
      </c>
    </row>
    <row r="37" spans="1:20" ht="15" customHeight="1" x14ac:dyDescent="0.4">
      <c r="A37" s="42" t="s">
        <v>90</v>
      </c>
      <c r="B37" s="41" t="s">
        <v>91</v>
      </c>
      <c r="C37" s="43">
        <v>56600.65</v>
      </c>
      <c r="D37" s="43">
        <v>16048465.560000001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1">
        <v>1</v>
      </c>
    </row>
    <row r="38" spans="1:20" ht="15" customHeight="1" x14ac:dyDescent="0.4">
      <c r="A38" s="42" t="s">
        <v>92</v>
      </c>
      <c r="B38" s="41" t="s">
        <v>93</v>
      </c>
      <c r="C38" s="43">
        <v>67970300</v>
      </c>
      <c r="D38" s="43">
        <v>-59222693</v>
      </c>
      <c r="E38" s="43">
        <v>-312934187.69</v>
      </c>
      <c r="F38" s="43">
        <v>-7060305.2599999998</v>
      </c>
      <c r="G38" s="43">
        <v>-1021982.11</v>
      </c>
      <c r="H38" s="43">
        <v>-12702756.220000001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-333719231.27999997</v>
      </c>
      <c r="S38" s="43">
        <v>-20785043.59</v>
      </c>
      <c r="T38" s="41">
        <v>1</v>
      </c>
    </row>
    <row r="39" spans="1:20" ht="15" customHeight="1" x14ac:dyDescent="0.4">
      <c r="A39" s="42" t="s">
        <v>94</v>
      </c>
      <c r="B39" s="41" t="s">
        <v>95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1">
        <v>1</v>
      </c>
    </row>
    <row r="40" spans="1:20" ht="15" customHeight="1" x14ac:dyDescent="0.4">
      <c r="A40" s="42" t="s">
        <v>96</v>
      </c>
      <c r="B40" s="41" t="s">
        <v>97</v>
      </c>
      <c r="C40" s="43">
        <v>-64961885</v>
      </c>
      <c r="D40" s="43">
        <v>-64961885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98</v>
      </c>
      <c r="B41" s="41" t="s">
        <v>99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100</v>
      </c>
      <c r="B42" s="41" t="s">
        <v>101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102</v>
      </c>
      <c r="B43" s="41" t="s">
        <v>103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1">
        <v>1</v>
      </c>
    </row>
    <row r="44" spans="1:20" ht="15" customHeight="1" x14ac:dyDescent="0.4">
      <c r="A44" s="42" t="s">
        <v>104</v>
      </c>
      <c r="B44" s="41" t="s">
        <v>105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106</v>
      </c>
      <c r="B45" s="41" t="s">
        <v>107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1">
        <v>1</v>
      </c>
    </row>
    <row r="46" spans="1:20" ht="15" customHeight="1" x14ac:dyDescent="0.4">
      <c r="A46" s="42" t="s">
        <v>108</v>
      </c>
      <c r="B46" s="41" t="s">
        <v>109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110</v>
      </c>
      <c r="B47" s="41" t="s">
        <v>111</v>
      </c>
      <c r="C47" s="43">
        <v>298305.96000000002</v>
      </c>
      <c r="D47" s="43">
        <v>5712743.2000000002</v>
      </c>
      <c r="E47" s="43">
        <v>7411046.0700000003</v>
      </c>
      <c r="F47" s="43">
        <v>36000</v>
      </c>
      <c r="G47" s="43">
        <v>325862.07</v>
      </c>
      <c r="H47" s="43">
        <v>414335.34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8187243.4800000004</v>
      </c>
      <c r="S47" s="43">
        <v>776197.41</v>
      </c>
      <c r="T47" s="41">
        <v>1</v>
      </c>
    </row>
    <row r="48" spans="1:20" ht="15" customHeight="1" x14ac:dyDescent="0.4">
      <c r="A48" s="42" t="s">
        <v>112</v>
      </c>
      <c r="B48" s="41" t="s">
        <v>113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114</v>
      </c>
      <c r="B49" s="41" t="s">
        <v>115</v>
      </c>
      <c r="C49" s="43">
        <v>-15001608.189999999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1">
        <v>1</v>
      </c>
    </row>
    <row r="50" spans="1:20" ht="15" customHeight="1" x14ac:dyDescent="0.4">
      <c r="A50" s="42" t="s">
        <v>116</v>
      </c>
      <c r="B50" s="41" t="s">
        <v>117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1">
        <v>1</v>
      </c>
    </row>
    <row r="51" spans="1:20" ht="15" customHeight="1" x14ac:dyDescent="0.4">
      <c r="A51" s="37" t="s">
        <v>118</v>
      </c>
      <c r="B51" s="38" t="s">
        <v>119</v>
      </c>
      <c r="C51" s="39">
        <v>-2790137.49</v>
      </c>
      <c r="D51" s="39">
        <v>243261389.66999999</v>
      </c>
      <c r="E51" s="39">
        <v>226441507.38999999</v>
      </c>
      <c r="F51" s="39">
        <v>-3102577.11</v>
      </c>
      <c r="G51" s="39">
        <v>-4492554.88</v>
      </c>
      <c r="H51" s="39">
        <v>-7713299.3600000003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39">
        <v>211133076.03999999</v>
      </c>
      <c r="S51" s="39">
        <v>-15308431.35</v>
      </c>
      <c r="T51" s="41">
        <v>2</v>
      </c>
    </row>
    <row r="52" spans="1:20" ht="15" customHeight="1" x14ac:dyDescent="0.4">
      <c r="A52" s="37" t="s">
        <v>120</v>
      </c>
      <c r="B52" s="38" t="s">
        <v>121</v>
      </c>
      <c r="C52" s="39">
        <v>-249908</v>
      </c>
      <c r="D52" s="39">
        <v>1499475</v>
      </c>
      <c r="E52" s="39">
        <v>10000000</v>
      </c>
      <c r="F52" s="39">
        <v>-277777</v>
      </c>
      <c r="G52" s="39">
        <v>-277777</v>
      </c>
      <c r="H52" s="39">
        <v>-277777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39">
        <v>9166669</v>
      </c>
      <c r="S52" s="39">
        <v>-833331</v>
      </c>
      <c r="T52" s="41">
        <v>2</v>
      </c>
    </row>
    <row r="53" spans="1:20" ht="15" customHeight="1" x14ac:dyDescent="0.4">
      <c r="A53" s="42" t="s">
        <v>122</v>
      </c>
      <c r="B53" s="41" t="s">
        <v>123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1">
        <v>1</v>
      </c>
    </row>
    <row r="54" spans="1:20" ht="15" customHeight="1" x14ac:dyDescent="0.4">
      <c r="A54" s="42" t="s">
        <v>124</v>
      </c>
      <c r="B54" s="41" t="s">
        <v>35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1">
        <v>1</v>
      </c>
    </row>
    <row r="55" spans="1:20" ht="15" customHeight="1" x14ac:dyDescent="0.4">
      <c r="A55" s="42" t="s">
        <v>125</v>
      </c>
      <c r="B55" s="41" t="s">
        <v>37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1">
        <v>1</v>
      </c>
    </row>
    <row r="56" spans="1:20" ht="15" customHeight="1" x14ac:dyDescent="0.4">
      <c r="A56" s="42" t="s">
        <v>126</v>
      </c>
      <c r="B56" s="41" t="s">
        <v>127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1">
        <v>1</v>
      </c>
    </row>
    <row r="57" spans="1:20" ht="15" customHeight="1" x14ac:dyDescent="0.4">
      <c r="A57" s="42" t="s">
        <v>128</v>
      </c>
      <c r="B57" s="41" t="s">
        <v>129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1">
        <v>1</v>
      </c>
    </row>
    <row r="58" spans="1:20" ht="15" customHeight="1" x14ac:dyDescent="0.4">
      <c r="A58" s="42" t="s">
        <v>130</v>
      </c>
      <c r="B58" s="41" t="s">
        <v>131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1">
        <v>1</v>
      </c>
    </row>
    <row r="59" spans="1:20" ht="15" customHeight="1" x14ac:dyDescent="0.4">
      <c r="A59" s="42" t="s">
        <v>132</v>
      </c>
      <c r="B59" s="41" t="s">
        <v>133</v>
      </c>
      <c r="C59" s="43">
        <v>-249908</v>
      </c>
      <c r="D59" s="43">
        <v>1499475</v>
      </c>
      <c r="E59" s="43">
        <v>10000000</v>
      </c>
      <c r="F59" s="43">
        <v>-277777</v>
      </c>
      <c r="G59" s="43">
        <v>-277777</v>
      </c>
      <c r="H59" s="43">
        <v>-277777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3">
        <v>9166669</v>
      </c>
      <c r="S59" s="43">
        <v>-833331</v>
      </c>
      <c r="T59" s="41">
        <v>1</v>
      </c>
    </row>
    <row r="60" spans="1:20" ht="15" customHeight="1" x14ac:dyDescent="0.4">
      <c r="A60" s="42" t="s">
        <v>134</v>
      </c>
      <c r="B60" s="41" t="s">
        <v>135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136</v>
      </c>
      <c r="B61" s="41" t="s">
        <v>137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1">
        <v>1</v>
      </c>
    </row>
    <row r="62" spans="1:20" ht="15" customHeight="1" x14ac:dyDescent="0.4">
      <c r="A62" s="42" t="s">
        <v>138</v>
      </c>
      <c r="B62" s="41" t="s">
        <v>139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1">
        <v>1</v>
      </c>
    </row>
    <row r="63" spans="1:20" ht="15" customHeight="1" x14ac:dyDescent="0.4">
      <c r="A63" s="42" t="s">
        <v>140</v>
      </c>
      <c r="B63" s="41" t="s">
        <v>141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142</v>
      </c>
      <c r="B64" s="41" t="s">
        <v>143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37" t="s">
        <v>144</v>
      </c>
      <c r="B65" s="38" t="s">
        <v>145</v>
      </c>
      <c r="C65" s="39">
        <v>-2497645.59</v>
      </c>
      <c r="D65" s="39">
        <v>227097826.03999999</v>
      </c>
      <c r="E65" s="39">
        <v>195229831.59</v>
      </c>
      <c r="F65" s="39">
        <v>-3802677.52</v>
      </c>
      <c r="G65" s="39">
        <v>-3643527.29</v>
      </c>
      <c r="H65" s="39">
        <v>-7413399.7699999996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39">
        <v>180370227.00999999</v>
      </c>
      <c r="S65" s="39">
        <v>-14859604.58</v>
      </c>
      <c r="T65" s="41">
        <v>2</v>
      </c>
    </row>
    <row r="66" spans="1:20" ht="15" customHeight="1" x14ac:dyDescent="0.4">
      <c r="A66" s="42" t="s">
        <v>146</v>
      </c>
      <c r="B66" s="41" t="s">
        <v>147</v>
      </c>
      <c r="C66" s="44">
        <v>0</v>
      </c>
      <c r="D66" s="43">
        <v>12663333</v>
      </c>
      <c r="E66" s="43">
        <v>12663333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3">
        <v>12663333</v>
      </c>
      <c r="S66" s="44">
        <v>0</v>
      </c>
      <c r="T66" s="41">
        <v>1</v>
      </c>
    </row>
    <row r="67" spans="1:20" ht="15" customHeight="1" x14ac:dyDescent="0.4">
      <c r="A67" s="42" t="s">
        <v>148</v>
      </c>
      <c r="B67" s="41" t="s">
        <v>149</v>
      </c>
      <c r="C67" s="44">
        <v>0</v>
      </c>
      <c r="D67" s="43">
        <v>78836667</v>
      </c>
      <c r="E67" s="43">
        <v>78836667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3">
        <v>78836667</v>
      </c>
      <c r="S67" s="44">
        <v>0</v>
      </c>
      <c r="T67" s="41">
        <v>1</v>
      </c>
    </row>
    <row r="68" spans="1:20" ht="15" customHeight="1" x14ac:dyDescent="0.4">
      <c r="A68" s="42" t="s">
        <v>150</v>
      </c>
      <c r="B68" s="41" t="s">
        <v>151</v>
      </c>
      <c r="C68" s="43">
        <v>-654205.48</v>
      </c>
      <c r="D68" s="43">
        <v>-11686913.140000001</v>
      </c>
      <c r="E68" s="43">
        <v>-17574762.460000001</v>
      </c>
      <c r="F68" s="43">
        <v>-654205.48</v>
      </c>
      <c r="G68" s="43">
        <v>-654205.48</v>
      </c>
      <c r="H68" s="43">
        <v>-654205.48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3">
        <v>-19537378.899999999</v>
      </c>
      <c r="S68" s="43">
        <v>-1962616.44</v>
      </c>
      <c r="T68" s="41">
        <v>1</v>
      </c>
    </row>
    <row r="69" spans="1:20" ht="15" customHeight="1" x14ac:dyDescent="0.4">
      <c r="A69" s="42" t="s">
        <v>152</v>
      </c>
      <c r="B69" s="41" t="s">
        <v>153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154</v>
      </c>
      <c r="B70" s="41" t="s">
        <v>155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1">
        <v>1</v>
      </c>
    </row>
    <row r="71" spans="1:20" ht="15" customHeight="1" x14ac:dyDescent="0.4">
      <c r="A71" s="42" t="s">
        <v>156</v>
      </c>
      <c r="B71" s="41" t="s">
        <v>157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158</v>
      </c>
      <c r="B72" s="41" t="s">
        <v>159</v>
      </c>
      <c r="C72" s="43">
        <v>1328718.07</v>
      </c>
      <c r="D72" s="43">
        <v>73219573.290000007</v>
      </c>
      <c r="E72" s="43">
        <v>73573524.079999998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3">
        <v>73573524.079999998</v>
      </c>
      <c r="S72" s="44">
        <v>0</v>
      </c>
      <c r="T72" s="41">
        <v>1</v>
      </c>
    </row>
    <row r="73" spans="1:20" ht="15" customHeight="1" x14ac:dyDescent="0.4">
      <c r="A73" s="42" t="s">
        <v>160</v>
      </c>
      <c r="B73" s="41" t="s">
        <v>161</v>
      </c>
      <c r="C73" s="43">
        <v>-1025107.76</v>
      </c>
      <c r="D73" s="43">
        <v>-2977650.53</v>
      </c>
      <c r="E73" s="43">
        <v>-12588746.18</v>
      </c>
      <c r="F73" s="43">
        <v>-1080299.8400000001</v>
      </c>
      <c r="G73" s="43">
        <v>-1080299.8400000001</v>
      </c>
      <c r="H73" s="43">
        <v>-1080299.8400000001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3">
        <v>-15829645.699999999</v>
      </c>
      <c r="S73" s="43">
        <v>-3240899.52</v>
      </c>
      <c r="T73" s="41">
        <v>1</v>
      </c>
    </row>
    <row r="74" spans="1:20" ht="15" customHeight="1" x14ac:dyDescent="0.4">
      <c r="A74" s="42" t="s">
        <v>162</v>
      </c>
      <c r="B74" s="41" t="s">
        <v>163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1">
        <v>1</v>
      </c>
    </row>
    <row r="75" spans="1:20" ht="15" customHeight="1" x14ac:dyDescent="0.4">
      <c r="A75" s="42" t="s">
        <v>164</v>
      </c>
      <c r="B75" s="41" t="s">
        <v>165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1">
        <v>1</v>
      </c>
    </row>
    <row r="76" spans="1:20" ht="15" customHeight="1" x14ac:dyDescent="0.4">
      <c r="A76" s="42" t="s">
        <v>166</v>
      </c>
      <c r="B76" s="41" t="s">
        <v>167</v>
      </c>
      <c r="C76" s="44">
        <v>0</v>
      </c>
      <c r="D76" s="43">
        <v>19178571.43</v>
      </c>
      <c r="E76" s="43">
        <v>19178571.43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3">
        <v>19178571.43</v>
      </c>
      <c r="S76" s="44">
        <v>0</v>
      </c>
      <c r="T76" s="41">
        <v>1</v>
      </c>
    </row>
    <row r="77" spans="1:20" ht="15" customHeight="1" x14ac:dyDescent="0.4">
      <c r="A77" s="42" t="s">
        <v>168</v>
      </c>
      <c r="B77" s="41" t="s">
        <v>169</v>
      </c>
      <c r="C77" s="43">
        <v>-159821.43</v>
      </c>
      <c r="D77" s="43">
        <v>-11027678.67</v>
      </c>
      <c r="E77" s="43">
        <v>-12466071.539999999</v>
      </c>
      <c r="F77" s="43">
        <v>-159821.43</v>
      </c>
      <c r="G77" s="43">
        <v>-159821.43</v>
      </c>
      <c r="H77" s="43">
        <v>-159821.43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3">
        <v>-12945535.83</v>
      </c>
      <c r="S77" s="43">
        <v>-479464.29</v>
      </c>
      <c r="T77" s="41">
        <v>1</v>
      </c>
    </row>
    <row r="78" spans="1:20" ht="15" customHeight="1" x14ac:dyDescent="0.4">
      <c r="A78" s="42" t="s">
        <v>170</v>
      </c>
      <c r="B78" s="41" t="s">
        <v>171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172</v>
      </c>
      <c r="B79" s="41" t="s">
        <v>173</v>
      </c>
      <c r="C79" s="44">
        <v>0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1">
        <v>1</v>
      </c>
    </row>
    <row r="80" spans="1:20" ht="15" customHeight="1" x14ac:dyDescent="0.4">
      <c r="A80" s="42" t="s">
        <v>174</v>
      </c>
      <c r="B80" s="41" t="s">
        <v>175</v>
      </c>
      <c r="C80" s="44">
        <v>0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1">
        <v>1</v>
      </c>
    </row>
    <row r="81" spans="1:28" ht="15" customHeight="1" x14ac:dyDescent="0.4">
      <c r="A81" s="42" t="s">
        <v>743</v>
      </c>
      <c r="B81" s="41" t="s">
        <v>744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8" ht="15" customHeight="1" x14ac:dyDescent="0.4">
      <c r="A82" s="42" t="s">
        <v>176</v>
      </c>
      <c r="B82" s="41" t="s">
        <v>177</v>
      </c>
      <c r="C82" s="44">
        <v>0</v>
      </c>
      <c r="D82" s="43">
        <v>121628295.42</v>
      </c>
      <c r="E82" s="43">
        <v>121777520.04000001</v>
      </c>
      <c r="F82" s="44">
        <v>0</v>
      </c>
      <c r="G82" s="43">
        <v>147200</v>
      </c>
      <c r="H82" s="43">
        <v>-19056966.050000001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3">
        <v>102867753.98999999</v>
      </c>
      <c r="S82" s="43">
        <v>-18909766.050000001</v>
      </c>
      <c r="T82" s="41">
        <v>1</v>
      </c>
      <c r="V82" s="48" t="s">
        <v>750</v>
      </c>
      <c r="W82" s="48" t="s">
        <v>751</v>
      </c>
      <c r="X82" s="48" t="s">
        <v>752</v>
      </c>
      <c r="Y82" s="1" t="s">
        <v>753</v>
      </c>
      <c r="Z82" s="1" t="s">
        <v>754</v>
      </c>
    </row>
    <row r="83" spans="1:28" ht="15" customHeight="1" x14ac:dyDescent="0.4">
      <c r="A83" s="42" t="s">
        <v>178</v>
      </c>
      <c r="B83" s="41" t="s">
        <v>179</v>
      </c>
      <c r="C83" s="43">
        <v>-1987228.99</v>
      </c>
      <c r="D83" s="43">
        <v>-52736371.759999998</v>
      </c>
      <c r="E83" s="43">
        <v>-68170203.780000001</v>
      </c>
      <c r="F83" s="43">
        <v>-1908350.77</v>
      </c>
      <c r="G83" s="43">
        <v>-1896400.54</v>
      </c>
      <c r="H83" s="43">
        <v>13537893.029999999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3">
        <v>-58437062.060000002</v>
      </c>
      <c r="S83" s="43">
        <v>9733141.7200000007</v>
      </c>
      <c r="T83" s="41">
        <v>1</v>
      </c>
      <c r="U83" s="1" t="s">
        <v>755</v>
      </c>
      <c r="V83" s="48">
        <f>+PL!R56</f>
        <v>11359539.960000001</v>
      </c>
      <c r="W83" s="48">
        <f>+S70+S73+S77+S79+S83+S86</f>
        <v>6012777.9100000001</v>
      </c>
      <c r="X83" s="48">
        <f>+V83+W83</f>
        <v>17372317.870000001</v>
      </c>
      <c r="Y83" s="1">
        <f>+PL!R92</f>
        <v>0</v>
      </c>
      <c r="Z83" s="48">
        <f>+PL!R126</f>
        <v>3699702.55</v>
      </c>
      <c r="AA83" s="48">
        <f>+X83-Z83</f>
        <v>13672615.32</v>
      </c>
      <c r="AB83" s="48">
        <f>+X83+Z83</f>
        <v>21072020.420000002</v>
      </c>
    </row>
    <row r="84" spans="1:28" ht="15" customHeight="1" x14ac:dyDescent="0.4">
      <c r="A84" s="42" t="s">
        <v>180</v>
      </c>
      <c r="B84" s="41" t="s">
        <v>181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  <c r="U84" s="1" t="s">
        <v>756</v>
      </c>
      <c r="V84" s="48">
        <f>+PL!R58</f>
        <v>66367.77</v>
      </c>
      <c r="W84" s="48">
        <f>+S104</f>
        <v>-66367.77</v>
      </c>
      <c r="X84" s="48">
        <f>+V84+W84</f>
        <v>0</v>
      </c>
      <c r="Y84" s="1">
        <f>+PL!R95</f>
        <v>0</v>
      </c>
      <c r="Z84" s="1">
        <f>+PL!R129</f>
        <v>0</v>
      </c>
    </row>
    <row r="85" spans="1:28" ht="15" customHeight="1" x14ac:dyDescent="0.4">
      <c r="A85" s="42" t="s">
        <v>182</v>
      </c>
      <c r="B85" s="41" t="s">
        <v>183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  <c r="U85" s="1" t="s">
        <v>757</v>
      </c>
      <c r="V85" s="48">
        <f>+PL!R57</f>
        <v>0</v>
      </c>
      <c r="W85" s="48">
        <f>S95</f>
        <v>0</v>
      </c>
      <c r="X85" s="48">
        <f>+V85+W85</f>
        <v>0</v>
      </c>
      <c r="Y85" s="1">
        <f>+PL!R94</f>
        <v>0</v>
      </c>
      <c r="Z85" s="1">
        <f>+PL!R128</f>
        <v>0</v>
      </c>
    </row>
    <row r="86" spans="1:28" ht="15" customHeight="1" x14ac:dyDescent="0.4">
      <c r="A86" s="42" t="s">
        <v>184</v>
      </c>
      <c r="B86" s="41" t="s">
        <v>185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8" ht="15" customHeight="1" x14ac:dyDescent="0.4">
      <c r="A87" s="42" t="s">
        <v>186</v>
      </c>
      <c r="B87" s="41" t="s">
        <v>187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8" ht="15" customHeight="1" x14ac:dyDescent="0.4">
      <c r="A88" s="42" t="s">
        <v>188</v>
      </c>
      <c r="B88" s="41" t="s">
        <v>189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8" ht="15" customHeight="1" x14ac:dyDescent="0.4">
      <c r="A89" s="42" t="s">
        <v>190</v>
      </c>
      <c r="B89" s="41" t="s">
        <v>191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8" ht="15" customHeight="1" x14ac:dyDescent="0.4">
      <c r="A90" s="42" t="s">
        <v>192</v>
      </c>
      <c r="B90" s="41" t="s">
        <v>193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8" ht="15" customHeight="1" x14ac:dyDescent="0.4">
      <c r="A91" s="42" t="s">
        <v>194</v>
      </c>
      <c r="B91" s="41" t="s">
        <v>195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8" ht="15" customHeight="1" x14ac:dyDescent="0.4">
      <c r="A92" s="42" t="s">
        <v>196</v>
      </c>
      <c r="B92" s="41" t="s">
        <v>197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8" ht="15" customHeight="1" x14ac:dyDescent="0.4">
      <c r="A93" s="42" t="s">
        <v>198</v>
      </c>
      <c r="B93" s="41" t="s">
        <v>199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8" ht="15" customHeight="1" x14ac:dyDescent="0.4">
      <c r="A94" s="42" t="s">
        <v>200</v>
      </c>
      <c r="B94" s="41" t="s">
        <v>201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1">
        <v>1</v>
      </c>
    </row>
    <row r="95" spans="1:28" ht="15" customHeight="1" x14ac:dyDescent="0.4">
      <c r="A95" s="42" t="s">
        <v>202</v>
      </c>
      <c r="B95" s="41" t="s">
        <v>203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1">
        <v>1</v>
      </c>
    </row>
    <row r="96" spans="1:28" ht="15" customHeight="1" x14ac:dyDescent="0.4">
      <c r="A96" s="42" t="s">
        <v>204</v>
      </c>
      <c r="B96" s="41" t="s">
        <v>205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206</v>
      </c>
      <c r="B97" s="41" t="s">
        <v>207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208</v>
      </c>
      <c r="B98" s="41" t="s">
        <v>209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37" t="s">
        <v>210</v>
      </c>
      <c r="B99" s="38" t="s">
        <v>211</v>
      </c>
      <c r="C99" s="39">
        <v>-42583.9</v>
      </c>
      <c r="D99" s="39">
        <v>712408.63</v>
      </c>
      <c r="E99" s="39">
        <v>6131995.7999999998</v>
      </c>
      <c r="F99" s="39">
        <v>-22122.59</v>
      </c>
      <c r="G99" s="39">
        <v>-22122.59</v>
      </c>
      <c r="H99" s="39">
        <v>-22122.59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39">
        <v>6065628.0300000003</v>
      </c>
      <c r="S99" s="39">
        <v>-66367.77</v>
      </c>
      <c r="T99" s="41">
        <v>2</v>
      </c>
    </row>
    <row r="100" spans="1:20" ht="15" customHeight="1" x14ac:dyDescent="0.4">
      <c r="A100" s="42" t="s">
        <v>212</v>
      </c>
      <c r="B100" s="41" t="s">
        <v>213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214</v>
      </c>
      <c r="B101" s="41" t="s">
        <v>215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216</v>
      </c>
      <c r="B102" s="41" t="s">
        <v>217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218</v>
      </c>
      <c r="B103" s="41" t="s">
        <v>219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220</v>
      </c>
      <c r="B104" s="41" t="s">
        <v>221</v>
      </c>
      <c r="C104" s="43">
        <v>-42583.9</v>
      </c>
      <c r="D104" s="43">
        <v>712408.63</v>
      </c>
      <c r="E104" s="43">
        <v>6131995.7999999998</v>
      </c>
      <c r="F104" s="43">
        <v>-22122.59</v>
      </c>
      <c r="G104" s="43">
        <v>-22122.59</v>
      </c>
      <c r="H104" s="43">
        <v>-22122.59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3">
        <v>6065628.0300000003</v>
      </c>
      <c r="S104" s="43">
        <v>-66367.77</v>
      </c>
      <c r="T104" s="41">
        <v>1</v>
      </c>
    </row>
    <row r="105" spans="1:20" ht="15" customHeight="1" x14ac:dyDescent="0.4">
      <c r="A105" s="42" t="s">
        <v>222</v>
      </c>
      <c r="B105" s="41" t="s">
        <v>223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1">
        <v>1</v>
      </c>
    </row>
    <row r="106" spans="1:20" ht="15" customHeight="1" x14ac:dyDescent="0.4">
      <c r="A106" s="37" t="s">
        <v>224</v>
      </c>
      <c r="B106" s="38" t="s">
        <v>225</v>
      </c>
      <c r="C106" s="40">
        <v>0</v>
      </c>
      <c r="D106" s="39">
        <v>13951680</v>
      </c>
      <c r="E106" s="39">
        <v>15079680</v>
      </c>
      <c r="F106" s="39">
        <v>1000000</v>
      </c>
      <c r="G106" s="39">
        <v>-549128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39">
        <v>15530552</v>
      </c>
      <c r="S106" s="39">
        <v>450872</v>
      </c>
      <c r="T106" s="41">
        <v>2</v>
      </c>
    </row>
    <row r="107" spans="1:20" ht="15" customHeight="1" x14ac:dyDescent="0.4">
      <c r="A107" s="42" t="s">
        <v>226</v>
      </c>
      <c r="B107" s="41" t="s">
        <v>227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228</v>
      </c>
      <c r="B108" s="41" t="s">
        <v>229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42" t="s">
        <v>230</v>
      </c>
      <c r="B109" s="41" t="s">
        <v>231</v>
      </c>
      <c r="C109" s="44">
        <v>0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1">
        <v>1</v>
      </c>
    </row>
    <row r="110" spans="1:20" ht="15" customHeight="1" x14ac:dyDescent="0.4">
      <c r="A110" s="42" t="s">
        <v>232</v>
      </c>
      <c r="B110" s="41" t="s">
        <v>233</v>
      </c>
      <c r="C110" s="44">
        <v>0</v>
      </c>
      <c r="D110" s="43">
        <v>13951680</v>
      </c>
      <c r="E110" s="43">
        <v>15079680</v>
      </c>
      <c r="F110" s="43">
        <v>1000000</v>
      </c>
      <c r="G110" s="43">
        <v>-549128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3">
        <v>15530552</v>
      </c>
      <c r="S110" s="43">
        <v>450872</v>
      </c>
      <c r="T110" s="41">
        <v>1</v>
      </c>
    </row>
    <row r="111" spans="1:20" ht="15" customHeight="1" x14ac:dyDescent="0.4">
      <c r="A111" s="42" t="s">
        <v>234</v>
      </c>
      <c r="B111" s="41" t="s">
        <v>235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1">
        <v>1</v>
      </c>
    </row>
    <row r="112" spans="1:20" ht="15" customHeight="1" x14ac:dyDescent="0.4">
      <c r="A112" s="37" t="s">
        <v>236</v>
      </c>
      <c r="B112" s="38" t="s">
        <v>237</v>
      </c>
      <c r="C112" s="39">
        <v>-118522149.3</v>
      </c>
      <c r="D112" s="39">
        <v>4353510829.4799995</v>
      </c>
      <c r="E112" s="39">
        <v>3853740076.3899999</v>
      </c>
      <c r="F112" s="39">
        <v>-169736298.59999999</v>
      </c>
      <c r="G112" s="39">
        <v>60212823.450000003</v>
      </c>
      <c r="H112" s="39">
        <v>-122399452.34999999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39">
        <v>3621817148.8899999</v>
      </c>
      <c r="S112" s="39">
        <v>-231922927.5</v>
      </c>
      <c r="T112" s="41">
        <v>2</v>
      </c>
    </row>
    <row r="113" spans="1:20" ht="15" customHeight="1" x14ac:dyDescent="0.4">
      <c r="A113" s="37" t="s">
        <v>238</v>
      </c>
      <c r="B113" s="38" t="s">
        <v>239</v>
      </c>
      <c r="C113" s="39">
        <v>-118522149.3</v>
      </c>
      <c r="D113" s="39">
        <v>4353510829.4799995</v>
      </c>
      <c r="E113" s="39">
        <v>3853740076.3899999</v>
      </c>
      <c r="F113" s="39">
        <v>-169736298.59999999</v>
      </c>
      <c r="G113" s="39">
        <v>60212823.450000003</v>
      </c>
      <c r="H113" s="39">
        <v>-122399452.34999999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39">
        <v>3621817148.8899999</v>
      </c>
      <c r="S113" s="39">
        <v>-231922927.5</v>
      </c>
      <c r="T113" s="41">
        <v>2</v>
      </c>
    </row>
    <row r="114" spans="1:20" ht="15" customHeight="1" x14ac:dyDescent="0.4">
      <c r="A114" s="42" t="s">
        <v>240</v>
      </c>
      <c r="B114" s="41" t="s">
        <v>241</v>
      </c>
      <c r="C114" s="43">
        <v>26150457.129999999</v>
      </c>
      <c r="D114" s="43">
        <v>3519150251.0700002</v>
      </c>
      <c r="E114" s="43">
        <v>3109792715.2199998</v>
      </c>
      <c r="F114" s="43">
        <v>-163190574.47</v>
      </c>
      <c r="G114" s="43">
        <v>55963469.119999997</v>
      </c>
      <c r="H114" s="43">
        <v>-73704392.730000004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3">
        <v>2928861217.1399999</v>
      </c>
      <c r="S114" s="43">
        <v>-180931498.08000001</v>
      </c>
      <c r="T114" s="41">
        <v>1</v>
      </c>
    </row>
    <row r="115" spans="1:20" ht="15" customHeight="1" x14ac:dyDescent="0.4">
      <c r="A115" s="42" t="s">
        <v>242</v>
      </c>
      <c r="B115" s="41" t="s">
        <v>243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244</v>
      </c>
      <c r="B116" s="41" t="s">
        <v>245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246</v>
      </c>
      <c r="B117" s="41" t="s">
        <v>247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248</v>
      </c>
      <c r="B118" s="41" t="s">
        <v>249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250</v>
      </c>
      <c r="B119" s="41" t="s">
        <v>251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252</v>
      </c>
      <c r="B120" s="41" t="s">
        <v>253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254</v>
      </c>
      <c r="B121" s="41" t="s">
        <v>255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256</v>
      </c>
      <c r="B122" s="41" t="s">
        <v>257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258</v>
      </c>
      <c r="B123" s="41" t="s">
        <v>259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260</v>
      </c>
      <c r="B124" s="41" t="s">
        <v>261</v>
      </c>
      <c r="C124" s="43">
        <v>4744854.9000000004</v>
      </c>
      <c r="D124" s="43">
        <v>15888668.800000001</v>
      </c>
      <c r="E124" s="43">
        <v>14716204.83</v>
      </c>
      <c r="F124" s="43">
        <v>-2122022.14</v>
      </c>
      <c r="G124" s="43">
        <v>-12065885.949999999</v>
      </c>
      <c r="H124" s="43">
        <v>8999575.3900000006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3">
        <v>9527872.1300000008</v>
      </c>
      <c r="S124" s="43">
        <v>-5188332.7</v>
      </c>
      <c r="T124" s="41">
        <v>1</v>
      </c>
    </row>
    <row r="125" spans="1:20" ht="15" customHeight="1" x14ac:dyDescent="0.4">
      <c r="A125" s="42" t="s">
        <v>262</v>
      </c>
      <c r="B125" s="41" t="s">
        <v>263</v>
      </c>
      <c r="C125" s="43">
        <v>-112675925.01000001</v>
      </c>
      <c r="D125" s="43">
        <v>567049595.55999994</v>
      </c>
      <c r="E125" s="43">
        <v>535733894.06999999</v>
      </c>
      <c r="F125" s="43">
        <v>-89387424.659999996</v>
      </c>
      <c r="G125" s="43">
        <v>9927726.0500000007</v>
      </c>
      <c r="H125" s="43">
        <v>-48416062.399999999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3">
        <v>407858133.06</v>
      </c>
      <c r="S125" s="43">
        <v>-127875761.01000001</v>
      </c>
      <c r="T125" s="41">
        <v>1</v>
      </c>
    </row>
    <row r="126" spans="1:20" ht="15" customHeight="1" x14ac:dyDescent="0.4">
      <c r="A126" s="42" t="s">
        <v>264</v>
      </c>
      <c r="B126" s="41" t="s">
        <v>265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1">
        <v>1</v>
      </c>
    </row>
    <row r="127" spans="1:20" ht="15" customHeight="1" x14ac:dyDescent="0.4">
      <c r="A127" s="42" t="s">
        <v>266</v>
      </c>
      <c r="B127" s="41" t="s">
        <v>267</v>
      </c>
      <c r="C127" s="43">
        <v>-2698003</v>
      </c>
      <c r="D127" s="43">
        <v>86877219.040000007</v>
      </c>
      <c r="E127" s="43">
        <v>64199140.32</v>
      </c>
      <c r="F127" s="43">
        <v>17598381</v>
      </c>
      <c r="G127" s="43">
        <v>1265922</v>
      </c>
      <c r="H127" s="43">
        <v>1237947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3">
        <v>84301390.319999993</v>
      </c>
      <c r="S127" s="43">
        <v>20102250</v>
      </c>
      <c r="T127" s="41">
        <v>1</v>
      </c>
    </row>
    <row r="128" spans="1:20" ht="15" customHeight="1" x14ac:dyDescent="0.4">
      <c r="A128" s="42" t="s">
        <v>268</v>
      </c>
      <c r="B128" s="41" t="s">
        <v>269</v>
      </c>
      <c r="C128" s="43">
        <v>-44852372.32</v>
      </c>
      <c r="D128" s="43">
        <v>54724357.009999998</v>
      </c>
      <c r="E128" s="43">
        <v>87016600.950000003</v>
      </c>
      <c r="F128" s="43">
        <v>59756299.609999999</v>
      </c>
      <c r="G128" s="43">
        <v>2844625.99</v>
      </c>
      <c r="H128" s="43">
        <v>-12519496.27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3">
        <v>137098030.28</v>
      </c>
      <c r="S128" s="43">
        <v>50081429.329999998</v>
      </c>
      <c r="T128" s="41">
        <v>1</v>
      </c>
    </row>
    <row r="129" spans="1:20" ht="15" customHeight="1" x14ac:dyDescent="0.4">
      <c r="A129" s="42" t="s">
        <v>270</v>
      </c>
      <c r="B129" s="41" t="s">
        <v>271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1">
        <v>1</v>
      </c>
    </row>
    <row r="130" spans="1:20" ht="15" customHeight="1" x14ac:dyDescent="0.4">
      <c r="A130" s="42" t="s">
        <v>272</v>
      </c>
      <c r="B130" s="41" t="s">
        <v>273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274</v>
      </c>
      <c r="B131" s="41" t="s">
        <v>275</v>
      </c>
      <c r="C131" s="44">
        <v>0</v>
      </c>
      <c r="D131" s="44">
        <v>0</v>
      </c>
      <c r="E131" s="44">
        <v>0</v>
      </c>
      <c r="F131" s="43">
        <v>11039143.060000001</v>
      </c>
      <c r="G131" s="43">
        <v>7461352.2400000002</v>
      </c>
      <c r="H131" s="43">
        <v>8436444.6600000001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3">
        <v>26936939.960000001</v>
      </c>
      <c r="S131" s="43">
        <v>26936939.960000001</v>
      </c>
      <c r="T131" s="41">
        <v>1</v>
      </c>
    </row>
    <row r="132" spans="1:20" ht="15" customHeight="1" x14ac:dyDescent="0.4">
      <c r="A132" s="42" t="s">
        <v>276</v>
      </c>
      <c r="B132" s="41" t="s">
        <v>277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278</v>
      </c>
      <c r="B133" s="41" t="s">
        <v>279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280</v>
      </c>
      <c r="B134" s="41" t="s">
        <v>281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282</v>
      </c>
      <c r="B135" s="41" t="s">
        <v>283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284</v>
      </c>
      <c r="B136" s="41" t="s">
        <v>285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286</v>
      </c>
      <c r="B137" s="41" t="s">
        <v>287</v>
      </c>
      <c r="C137" s="44">
        <v>0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1">
        <v>1</v>
      </c>
    </row>
    <row r="138" spans="1:20" ht="15" customHeight="1" x14ac:dyDescent="0.4">
      <c r="A138" s="42" t="s">
        <v>288</v>
      </c>
      <c r="B138" s="41" t="s">
        <v>289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290</v>
      </c>
      <c r="B139" s="41" t="s">
        <v>291</v>
      </c>
      <c r="C139" s="43">
        <v>10808839</v>
      </c>
      <c r="D139" s="43">
        <v>109820738</v>
      </c>
      <c r="E139" s="43">
        <v>42281521</v>
      </c>
      <c r="F139" s="43">
        <v>-3430101</v>
      </c>
      <c r="G139" s="43">
        <v>-5184386</v>
      </c>
      <c r="H139" s="43">
        <v>-6433468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3">
        <v>27233566</v>
      </c>
      <c r="S139" s="43">
        <v>-15047955</v>
      </c>
      <c r="T139" s="41">
        <v>1</v>
      </c>
    </row>
    <row r="140" spans="1:20" ht="15" customHeight="1" x14ac:dyDescent="0.4">
      <c r="A140" s="42" t="s">
        <v>292</v>
      </c>
      <c r="B140" s="41" t="s">
        <v>293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294</v>
      </c>
      <c r="B141" s="41" t="s">
        <v>295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1">
        <v>1</v>
      </c>
    </row>
    <row r="142" spans="1:20" ht="15" customHeight="1" x14ac:dyDescent="0.4">
      <c r="A142" s="42" t="s">
        <v>296</v>
      </c>
      <c r="B142" s="41" t="s">
        <v>297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1">
        <v>1</v>
      </c>
    </row>
    <row r="143" spans="1:20" ht="15" customHeight="1" x14ac:dyDescent="0.4">
      <c r="A143" s="37" t="s">
        <v>298</v>
      </c>
      <c r="B143" s="38" t="s">
        <v>299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1">
        <v>2</v>
      </c>
    </row>
    <row r="144" spans="1:20" ht="15" customHeight="1" x14ac:dyDescent="0.4">
      <c r="A144" s="42" t="s">
        <v>300</v>
      </c>
      <c r="B144" s="41" t="s">
        <v>301</v>
      </c>
      <c r="C144" s="44">
        <v>0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1">
        <v>1</v>
      </c>
    </row>
    <row r="145" spans="1:20" ht="15" customHeight="1" x14ac:dyDescent="0.4">
      <c r="A145" s="42" t="s">
        <v>302</v>
      </c>
      <c r="B145" s="41" t="s">
        <v>303</v>
      </c>
      <c r="C145" s="44">
        <v>0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1">
        <v>1</v>
      </c>
    </row>
    <row r="146" spans="1:20" ht="15" customHeight="1" x14ac:dyDescent="0.4">
      <c r="A146" s="42" t="s">
        <v>304</v>
      </c>
      <c r="B146" s="41" t="s">
        <v>305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1">
        <v>1</v>
      </c>
    </row>
    <row r="147" spans="1:20" ht="15" customHeight="1" x14ac:dyDescent="0.4">
      <c r="A147" s="42" t="s">
        <v>306</v>
      </c>
      <c r="B147" s="41" t="s">
        <v>307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  <row r="148" spans="1:20" ht="15" customHeight="1" x14ac:dyDescent="0.4">
      <c r="A148" s="42" t="s">
        <v>308</v>
      </c>
      <c r="B148" s="41" t="s">
        <v>309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1">
        <v>1</v>
      </c>
    </row>
    <row r="149" spans="1:20" ht="15" customHeight="1" x14ac:dyDescent="0.4">
      <c r="A149" s="42" t="s">
        <v>310</v>
      </c>
      <c r="B149" s="41" t="s">
        <v>311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1">
        <v>1</v>
      </c>
    </row>
    <row r="150" spans="1:20" ht="15" customHeight="1" x14ac:dyDescent="0.4">
      <c r="A150" s="42" t="s">
        <v>312</v>
      </c>
      <c r="B150" s="41" t="s">
        <v>313</v>
      </c>
      <c r="C150" s="44">
        <v>0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1">
        <v>1</v>
      </c>
    </row>
    <row r="151" spans="1:20" ht="15" customHeight="1" x14ac:dyDescent="0.4">
      <c r="A151" s="42" t="s">
        <v>314</v>
      </c>
      <c r="B151" s="41" t="s">
        <v>315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1">
        <v>1</v>
      </c>
    </row>
    <row r="152" spans="1:20" ht="15" customHeight="1" x14ac:dyDescent="0.4">
      <c r="A152" s="42" t="s">
        <v>316</v>
      </c>
      <c r="B152" s="41" t="s">
        <v>317</v>
      </c>
      <c r="C152" s="44">
        <v>0</v>
      </c>
      <c r="D152" s="44">
        <v>0</v>
      </c>
      <c r="E152" s="44">
        <v>0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1">
        <v>1</v>
      </c>
    </row>
    <row r="153" spans="1:20" ht="15" customHeight="1" x14ac:dyDescent="0.4">
      <c r="A153" s="42" t="s">
        <v>318</v>
      </c>
      <c r="B153" s="41" t="s">
        <v>319</v>
      </c>
      <c r="C153" s="44">
        <v>0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1">
        <v>1</v>
      </c>
    </row>
    <row r="154" spans="1:20" ht="15" customHeight="1" x14ac:dyDescent="0.4">
      <c r="A154" s="42" t="s">
        <v>320</v>
      </c>
      <c r="B154" s="41" t="s">
        <v>321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1">
        <v>1</v>
      </c>
    </row>
    <row r="155" spans="1:20" ht="15" customHeight="1" x14ac:dyDescent="0.4">
      <c r="A155" s="42" t="s">
        <v>322</v>
      </c>
      <c r="B155" s="41" t="s">
        <v>323</v>
      </c>
      <c r="C155" s="44">
        <v>0</v>
      </c>
      <c r="D155" s="44">
        <v>0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1">
        <v>1</v>
      </c>
    </row>
    <row r="156" spans="1:20" ht="15" customHeight="1" x14ac:dyDescent="0.4">
      <c r="A156" s="42" t="s">
        <v>324</v>
      </c>
      <c r="B156" s="41" t="s">
        <v>325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1">
        <v>1</v>
      </c>
    </row>
    <row r="157" spans="1:20" ht="15" customHeight="1" x14ac:dyDescent="0.4">
      <c r="A157" s="42" t="s">
        <v>326</v>
      </c>
      <c r="B157" s="41" t="s">
        <v>327</v>
      </c>
      <c r="C157" s="44">
        <v>0</v>
      </c>
      <c r="D157" s="44">
        <v>0</v>
      </c>
      <c r="E157" s="44">
        <v>0</v>
      </c>
      <c r="F157" s="44">
        <v>0</v>
      </c>
      <c r="G157" s="44">
        <v>0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1">
        <v>1</v>
      </c>
    </row>
    <row r="158" spans="1:20" ht="15" customHeight="1" x14ac:dyDescent="0.4">
      <c r="A158" s="42" t="s">
        <v>328</v>
      </c>
      <c r="B158" s="41" t="s">
        <v>329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1">
        <v>1</v>
      </c>
    </row>
    <row r="159" spans="1:20" ht="15" customHeight="1" x14ac:dyDescent="0.4">
      <c r="A159" s="42" t="s">
        <v>330</v>
      </c>
      <c r="B159" s="41" t="s">
        <v>331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1">
        <v>1</v>
      </c>
    </row>
    <row r="160" spans="1:20" ht="15" customHeight="1" x14ac:dyDescent="0.4">
      <c r="A160" s="42" t="s">
        <v>332</v>
      </c>
      <c r="B160" s="41" t="s">
        <v>333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1">
        <v>1</v>
      </c>
    </row>
    <row r="161" spans="1:20" ht="15" customHeight="1" x14ac:dyDescent="0.4">
      <c r="A161" s="37" t="s">
        <v>334</v>
      </c>
      <c r="B161" s="38" t="s">
        <v>335</v>
      </c>
      <c r="C161" s="39">
        <v>-126853385.25</v>
      </c>
      <c r="D161" s="39">
        <v>-88578809.590000004</v>
      </c>
      <c r="E161" s="39">
        <v>-974528530.20000005</v>
      </c>
      <c r="F161" s="39">
        <v>-73707904.319999993</v>
      </c>
      <c r="G161" s="39">
        <v>-103328611.43000001</v>
      </c>
      <c r="H161" s="39">
        <v>23931153.23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39">
        <v>-1127633892.72</v>
      </c>
      <c r="S161" s="39">
        <v>-153105362.52000001</v>
      </c>
      <c r="T161" s="41">
        <v>2</v>
      </c>
    </row>
    <row r="162" spans="1:20" ht="15" customHeight="1" x14ac:dyDescent="0.4">
      <c r="A162" s="37" t="s">
        <v>336</v>
      </c>
      <c r="B162" s="38" t="s">
        <v>337</v>
      </c>
      <c r="C162" s="40">
        <v>0</v>
      </c>
      <c r="D162" s="39">
        <v>495343228.35000002</v>
      </c>
      <c r="E162" s="39">
        <v>495343228.35000002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  <c r="R162" s="39">
        <v>495343228.35000002</v>
      </c>
      <c r="S162" s="40">
        <v>0</v>
      </c>
      <c r="T162" s="41">
        <v>2</v>
      </c>
    </row>
    <row r="163" spans="1:20" ht="15" customHeight="1" x14ac:dyDescent="0.4">
      <c r="A163" s="42" t="s">
        <v>338</v>
      </c>
      <c r="B163" s="41" t="s">
        <v>339</v>
      </c>
      <c r="C163" s="44">
        <v>0</v>
      </c>
      <c r="D163" s="43">
        <v>495343228.35000002</v>
      </c>
      <c r="E163" s="43">
        <v>495343228.35000002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3">
        <v>495343228.35000002</v>
      </c>
      <c r="S163" s="44">
        <v>0</v>
      </c>
      <c r="T163" s="41">
        <v>1</v>
      </c>
    </row>
    <row r="164" spans="1:20" ht="15" customHeight="1" x14ac:dyDescent="0.4">
      <c r="A164" s="42" t="s">
        <v>340</v>
      </c>
      <c r="B164" s="41" t="s">
        <v>341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1">
        <v>1</v>
      </c>
    </row>
    <row r="165" spans="1:20" ht="15" customHeight="1" x14ac:dyDescent="0.4">
      <c r="A165" s="37" t="s">
        <v>342</v>
      </c>
      <c r="B165" s="38" t="s">
        <v>343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1">
        <v>2</v>
      </c>
    </row>
    <row r="166" spans="1:20" ht="15" customHeight="1" x14ac:dyDescent="0.4">
      <c r="A166" s="42" t="s">
        <v>344</v>
      </c>
      <c r="B166" s="41" t="s">
        <v>345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1">
        <v>1</v>
      </c>
    </row>
    <row r="167" spans="1:20" ht="15" customHeight="1" x14ac:dyDescent="0.4">
      <c r="A167" s="42" t="s">
        <v>346</v>
      </c>
      <c r="B167" s="41" t="s">
        <v>347</v>
      </c>
      <c r="C167" s="44">
        <v>0</v>
      </c>
      <c r="D167" s="44">
        <v>0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1">
        <v>1</v>
      </c>
    </row>
    <row r="168" spans="1:20" ht="15" customHeight="1" x14ac:dyDescent="0.4">
      <c r="A168" s="42" t="s">
        <v>348</v>
      </c>
      <c r="B168" s="41" t="s">
        <v>349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1">
        <v>1</v>
      </c>
    </row>
    <row r="169" spans="1:20" ht="15" customHeight="1" x14ac:dyDescent="0.4">
      <c r="A169" s="42" t="s">
        <v>350</v>
      </c>
      <c r="B169" s="41" t="s">
        <v>351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1">
        <v>1</v>
      </c>
    </row>
    <row r="170" spans="1:20" ht="15" customHeight="1" x14ac:dyDescent="0.4">
      <c r="A170" s="42" t="s">
        <v>352</v>
      </c>
      <c r="B170" s="41" t="s">
        <v>353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1">
        <v>1</v>
      </c>
    </row>
    <row r="171" spans="1:20" ht="15" customHeight="1" x14ac:dyDescent="0.4">
      <c r="A171" s="42" t="s">
        <v>354</v>
      </c>
      <c r="B171" s="41" t="s">
        <v>355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1">
        <v>1</v>
      </c>
    </row>
    <row r="172" spans="1:20" ht="15" customHeight="1" x14ac:dyDescent="0.4">
      <c r="A172" s="42" t="s">
        <v>356</v>
      </c>
      <c r="B172" s="41" t="s">
        <v>745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1">
        <v>1</v>
      </c>
    </row>
    <row r="173" spans="1:20" ht="15" customHeight="1" x14ac:dyDescent="0.4">
      <c r="A173" s="37" t="s">
        <v>358</v>
      </c>
      <c r="B173" s="38" t="s">
        <v>359</v>
      </c>
      <c r="C173" s="40">
        <v>0</v>
      </c>
      <c r="D173" s="40">
        <v>0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41">
        <v>2</v>
      </c>
    </row>
    <row r="174" spans="1:20" ht="15" customHeight="1" x14ac:dyDescent="0.4">
      <c r="A174" s="42" t="s">
        <v>360</v>
      </c>
      <c r="B174" s="41" t="s">
        <v>361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1">
        <v>1</v>
      </c>
    </row>
    <row r="175" spans="1:20" ht="15" customHeight="1" x14ac:dyDescent="0.4">
      <c r="A175" s="42" t="s">
        <v>362</v>
      </c>
      <c r="B175" s="41" t="s">
        <v>363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1">
        <v>1</v>
      </c>
    </row>
    <row r="176" spans="1:20" ht="15" customHeight="1" x14ac:dyDescent="0.4">
      <c r="A176" s="42" t="s">
        <v>364</v>
      </c>
      <c r="B176" s="41" t="s">
        <v>365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1">
        <v>1</v>
      </c>
    </row>
    <row r="177" spans="1:20" ht="15" customHeight="1" x14ac:dyDescent="0.4">
      <c r="A177" s="42" t="s">
        <v>366</v>
      </c>
      <c r="B177" s="41" t="s">
        <v>367</v>
      </c>
      <c r="C177" s="44">
        <v>0</v>
      </c>
      <c r="D177" s="44">
        <v>0</v>
      </c>
      <c r="E177" s="44">
        <v>0</v>
      </c>
      <c r="F177" s="44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1">
        <v>1</v>
      </c>
    </row>
    <row r="178" spans="1:20" ht="15" customHeight="1" x14ac:dyDescent="0.4">
      <c r="A178" s="42" t="s">
        <v>368</v>
      </c>
      <c r="B178" s="41" t="s">
        <v>369</v>
      </c>
      <c r="C178" s="44">
        <v>0</v>
      </c>
      <c r="D178" s="44">
        <v>0</v>
      </c>
      <c r="E178" s="44">
        <v>0</v>
      </c>
      <c r="F178" s="44">
        <v>0</v>
      </c>
      <c r="G178" s="44">
        <v>0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1">
        <v>1</v>
      </c>
    </row>
    <row r="179" spans="1:20" ht="15" customHeight="1" x14ac:dyDescent="0.4">
      <c r="A179" s="42" t="s">
        <v>370</v>
      </c>
      <c r="B179" s="41" t="s">
        <v>371</v>
      </c>
      <c r="C179" s="44">
        <v>0</v>
      </c>
      <c r="D179" s="44">
        <v>0</v>
      </c>
      <c r="E179" s="44">
        <v>0</v>
      </c>
      <c r="F179" s="44">
        <v>0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1">
        <v>1</v>
      </c>
    </row>
    <row r="180" spans="1:20" ht="15" customHeight="1" x14ac:dyDescent="0.4">
      <c r="A180" s="42" t="s">
        <v>372</v>
      </c>
      <c r="B180" s="41" t="s">
        <v>373</v>
      </c>
      <c r="C180" s="44">
        <v>0</v>
      </c>
      <c r="D180" s="44">
        <v>0</v>
      </c>
      <c r="E180" s="44">
        <v>0</v>
      </c>
      <c r="F180" s="44">
        <v>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1">
        <v>1</v>
      </c>
    </row>
    <row r="181" spans="1:20" ht="15" customHeight="1" x14ac:dyDescent="0.4">
      <c r="A181" s="37" t="s">
        <v>374</v>
      </c>
      <c r="B181" s="38" t="s">
        <v>375</v>
      </c>
      <c r="C181" s="40">
        <v>0</v>
      </c>
      <c r="D181" s="40">
        <v>0</v>
      </c>
      <c r="E181" s="40">
        <v>0</v>
      </c>
      <c r="F181" s="40">
        <v>0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1">
        <v>2</v>
      </c>
    </row>
    <row r="182" spans="1:20" ht="15" customHeight="1" x14ac:dyDescent="0.4">
      <c r="A182" s="42" t="s">
        <v>376</v>
      </c>
      <c r="B182" s="41" t="s">
        <v>377</v>
      </c>
      <c r="C182" s="44">
        <v>0</v>
      </c>
      <c r="D182" s="44">
        <v>0</v>
      </c>
      <c r="E182" s="44">
        <v>0</v>
      </c>
      <c r="F182" s="44">
        <v>0</v>
      </c>
      <c r="G182" s="44">
        <v>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1">
        <v>1</v>
      </c>
    </row>
    <row r="183" spans="1:20" ht="15" customHeight="1" x14ac:dyDescent="0.4">
      <c r="A183" s="42" t="s">
        <v>378</v>
      </c>
      <c r="B183" s="41" t="s">
        <v>379</v>
      </c>
      <c r="C183" s="44">
        <v>0</v>
      </c>
      <c r="D183" s="44">
        <v>0</v>
      </c>
      <c r="E183" s="44">
        <v>0</v>
      </c>
      <c r="F183" s="44">
        <v>0</v>
      </c>
      <c r="G183" s="44">
        <v>0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1">
        <v>1</v>
      </c>
    </row>
    <row r="184" spans="1:20" ht="15" customHeight="1" x14ac:dyDescent="0.4">
      <c r="A184" s="42" t="s">
        <v>380</v>
      </c>
      <c r="B184" s="41" t="s">
        <v>746</v>
      </c>
      <c r="C184" s="44">
        <v>0</v>
      </c>
      <c r="D184" s="44">
        <v>0</v>
      </c>
      <c r="E184" s="44">
        <v>0</v>
      </c>
      <c r="F184" s="44">
        <v>0</v>
      </c>
      <c r="G184" s="44"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1">
        <v>1</v>
      </c>
    </row>
    <row r="185" spans="1:20" ht="15" customHeight="1" x14ac:dyDescent="0.4">
      <c r="A185" s="42" t="s">
        <v>382</v>
      </c>
      <c r="B185" s="41" t="s">
        <v>383</v>
      </c>
      <c r="C185" s="44">
        <v>0</v>
      </c>
      <c r="D185" s="44">
        <v>0</v>
      </c>
      <c r="E185" s="44">
        <v>0</v>
      </c>
      <c r="F185" s="44">
        <v>0</v>
      </c>
      <c r="G185" s="44">
        <v>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1">
        <v>1</v>
      </c>
    </row>
    <row r="186" spans="1:20" ht="15" customHeight="1" x14ac:dyDescent="0.4">
      <c r="A186" s="42" t="s">
        <v>384</v>
      </c>
      <c r="B186" s="41" t="s">
        <v>385</v>
      </c>
      <c r="C186" s="44">
        <v>0</v>
      </c>
      <c r="D186" s="44">
        <v>0</v>
      </c>
      <c r="E186" s="44">
        <v>0</v>
      </c>
      <c r="F186" s="44">
        <v>0</v>
      </c>
      <c r="G186" s="44"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1">
        <v>1</v>
      </c>
    </row>
    <row r="187" spans="1:20" ht="15" customHeight="1" x14ac:dyDescent="0.4">
      <c r="A187" s="37" t="s">
        <v>386</v>
      </c>
      <c r="B187" s="38" t="s">
        <v>387</v>
      </c>
      <c r="C187" s="39">
        <v>-126853385.25</v>
      </c>
      <c r="D187" s="39">
        <v>-583922037.94000006</v>
      </c>
      <c r="E187" s="39">
        <v>-1469871758.55</v>
      </c>
      <c r="F187" s="39">
        <v>-73707904.319999993</v>
      </c>
      <c r="G187" s="39">
        <v>-103328611.43000001</v>
      </c>
      <c r="H187" s="39">
        <v>23931153.23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40">
        <v>0</v>
      </c>
      <c r="Q187" s="40">
        <v>0</v>
      </c>
      <c r="R187" s="39">
        <v>-1622977121.0699999</v>
      </c>
      <c r="S187" s="39">
        <v>-153105362.52000001</v>
      </c>
      <c r="T187" s="41">
        <v>2</v>
      </c>
    </row>
    <row r="188" spans="1:20" ht="15" customHeight="1" x14ac:dyDescent="0.4">
      <c r="A188" s="42" t="s">
        <v>388</v>
      </c>
      <c r="B188" s="41" t="s">
        <v>389</v>
      </c>
      <c r="C188" s="44">
        <v>0</v>
      </c>
      <c r="D188" s="44">
        <v>0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1">
        <v>1</v>
      </c>
    </row>
    <row r="189" spans="1:20" ht="15" customHeight="1" x14ac:dyDescent="0.4">
      <c r="A189" s="42" t="s">
        <v>390</v>
      </c>
      <c r="B189" s="41" t="s">
        <v>391</v>
      </c>
      <c r="C189" s="44">
        <v>0</v>
      </c>
      <c r="D189" s="44">
        <v>0</v>
      </c>
      <c r="E189" s="44">
        <v>0</v>
      </c>
      <c r="F189" s="44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1">
        <v>1</v>
      </c>
    </row>
    <row r="190" spans="1:20" ht="15" customHeight="1" x14ac:dyDescent="0.4">
      <c r="A190" s="42" t="s">
        <v>392</v>
      </c>
      <c r="B190" s="41" t="s">
        <v>393</v>
      </c>
      <c r="C190" s="44">
        <v>0</v>
      </c>
      <c r="D190" s="44">
        <v>0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1">
        <v>1</v>
      </c>
    </row>
    <row r="191" spans="1:20" ht="15" customHeight="1" x14ac:dyDescent="0.4">
      <c r="A191" s="42" t="s">
        <v>394</v>
      </c>
      <c r="B191" s="41" t="s">
        <v>395</v>
      </c>
      <c r="C191" s="44">
        <v>0</v>
      </c>
      <c r="D191" s="44">
        <v>0</v>
      </c>
      <c r="E191" s="44">
        <v>0</v>
      </c>
      <c r="F191" s="44">
        <v>0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0</v>
      </c>
      <c r="T191" s="41">
        <v>1</v>
      </c>
    </row>
    <row r="192" spans="1:20" ht="15" customHeight="1" x14ac:dyDescent="0.4">
      <c r="A192" s="42" t="s">
        <v>396</v>
      </c>
      <c r="B192" s="41" t="s">
        <v>397</v>
      </c>
      <c r="C192" s="44">
        <v>0</v>
      </c>
      <c r="D192" s="44">
        <v>0</v>
      </c>
      <c r="E192" s="44">
        <v>0</v>
      </c>
      <c r="F192" s="44">
        <v>0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0</v>
      </c>
      <c r="T192" s="41">
        <v>1</v>
      </c>
    </row>
    <row r="193" spans="1:20" ht="15" customHeight="1" x14ac:dyDescent="0.4">
      <c r="A193" s="42" t="s">
        <v>398</v>
      </c>
      <c r="B193" s="41" t="s">
        <v>399</v>
      </c>
      <c r="C193" s="44">
        <v>0</v>
      </c>
      <c r="D193" s="43">
        <v>-545108455.63</v>
      </c>
      <c r="E193" s="43">
        <v>-545108455.63</v>
      </c>
      <c r="F193" s="43">
        <v>-924763302.91999996</v>
      </c>
      <c r="G193" s="44">
        <v>0</v>
      </c>
      <c r="H193" s="44">
        <v>0</v>
      </c>
      <c r="I193" s="44">
        <v>0</v>
      </c>
      <c r="J193" s="44">
        <v>0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3">
        <v>-1469871758.55</v>
      </c>
      <c r="S193" s="43">
        <v>-924763302.91999996</v>
      </c>
      <c r="T193" s="41">
        <v>1</v>
      </c>
    </row>
    <row r="194" spans="1:20" ht="15" customHeight="1" x14ac:dyDescent="0.4">
      <c r="A194" s="42" t="s">
        <v>400</v>
      </c>
      <c r="B194" s="41" t="s">
        <v>401</v>
      </c>
      <c r="C194" s="43">
        <v>-126853385.25</v>
      </c>
      <c r="D194" s="43">
        <v>-38813582.310000002</v>
      </c>
      <c r="E194" s="43">
        <v>-924763302.91999996</v>
      </c>
      <c r="F194" s="43">
        <v>851055398.60000002</v>
      </c>
      <c r="G194" s="43">
        <v>-103328611.43000001</v>
      </c>
      <c r="H194" s="43">
        <v>23931153.23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3">
        <v>-153105362.52000001</v>
      </c>
      <c r="S194" s="43">
        <v>771657940.39999998</v>
      </c>
      <c r="T194" s="41">
        <v>1</v>
      </c>
    </row>
    <row r="195" spans="1:20" ht="15" customHeight="1" x14ac:dyDescent="0.4">
      <c r="A195" s="37" t="s">
        <v>402</v>
      </c>
      <c r="B195" s="38" t="s">
        <v>403</v>
      </c>
      <c r="C195" s="40">
        <v>0</v>
      </c>
      <c r="D195" s="40">
        <v>0</v>
      </c>
      <c r="E195" s="40">
        <v>0</v>
      </c>
      <c r="F195" s="40">
        <v>0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1">
        <v>2</v>
      </c>
    </row>
    <row r="196" spans="1:20" ht="15" customHeight="1" x14ac:dyDescent="0.4">
      <c r="A196" s="42" t="s">
        <v>404</v>
      </c>
      <c r="B196" s="41" t="s">
        <v>405</v>
      </c>
      <c r="C196" s="44">
        <v>0</v>
      </c>
      <c r="D196" s="44">
        <v>0</v>
      </c>
      <c r="E196" s="44">
        <v>0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1">
        <v>1</v>
      </c>
    </row>
    <row r="197" spans="1:20" ht="15" customHeight="1" x14ac:dyDescent="0.4">
      <c r="A197" s="42" t="s">
        <v>406</v>
      </c>
      <c r="B197" s="41" t="s">
        <v>407</v>
      </c>
      <c r="C197" s="44">
        <v>0</v>
      </c>
      <c r="D197" s="44">
        <v>0</v>
      </c>
      <c r="E197" s="44">
        <v>0</v>
      </c>
      <c r="F197" s="44">
        <v>0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1">
        <v>1</v>
      </c>
    </row>
    <row r="198" spans="1:20" ht="15" customHeight="1" x14ac:dyDescent="0.4">
      <c r="A198" s="42" t="s">
        <v>408</v>
      </c>
      <c r="B198" s="41" t="s">
        <v>409</v>
      </c>
      <c r="C198" s="44">
        <v>0</v>
      </c>
      <c r="D198" s="44">
        <v>0</v>
      </c>
      <c r="E198" s="44">
        <v>0</v>
      </c>
      <c r="F198" s="44">
        <v>0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1">
        <v>1</v>
      </c>
    </row>
    <row r="199" spans="1:20" ht="15" customHeight="1" x14ac:dyDescent="0.4">
      <c r="A199" s="42" t="s">
        <v>410</v>
      </c>
      <c r="B199" s="41" t="s">
        <v>411</v>
      </c>
      <c r="C199" s="44">
        <v>0</v>
      </c>
      <c r="D199" s="44">
        <v>0</v>
      </c>
      <c r="E199" s="44">
        <v>0</v>
      </c>
      <c r="F199" s="44">
        <v>0</v>
      </c>
      <c r="G199" s="44">
        <v>0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1">
        <v>1</v>
      </c>
    </row>
    <row r="200" spans="1:20" ht="15" customHeight="1" x14ac:dyDescent="0.4">
      <c r="A200" s="42" t="s">
        <v>412</v>
      </c>
      <c r="B200" s="41" t="s">
        <v>413</v>
      </c>
      <c r="C200" s="44">
        <v>0</v>
      </c>
      <c r="D200" s="44">
        <v>0</v>
      </c>
      <c r="E200" s="44">
        <v>0</v>
      </c>
      <c r="F200" s="44">
        <v>0</v>
      </c>
      <c r="G200" s="44">
        <v>0</v>
      </c>
      <c r="H200" s="44"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1">
        <v>1</v>
      </c>
    </row>
    <row r="201" spans="1:20" ht="15" customHeight="1" x14ac:dyDescent="0.4">
      <c r="A201" s="42" t="s">
        <v>414</v>
      </c>
      <c r="B201" s="41" t="s">
        <v>415</v>
      </c>
      <c r="C201" s="44">
        <v>0</v>
      </c>
      <c r="D201" s="44">
        <v>0</v>
      </c>
      <c r="E201" s="44">
        <v>0</v>
      </c>
      <c r="F201" s="44">
        <v>0</v>
      </c>
      <c r="G201" s="44">
        <v>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1">
        <v>1</v>
      </c>
    </row>
    <row r="202" spans="1:20" ht="15" customHeight="1" x14ac:dyDescent="0.4">
      <c r="A202" s="42" t="s">
        <v>416</v>
      </c>
      <c r="B202" s="41" t="s">
        <v>417</v>
      </c>
      <c r="C202" s="44">
        <v>0</v>
      </c>
      <c r="D202" s="44">
        <v>0</v>
      </c>
      <c r="E202" s="44">
        <v>0</v>
      </c>
      <c r="F202" s="44">
        <v>0</v>
      </c>
      <c r="G202" s="44"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1">
        <v>1</v>
      </c>
    </row>
    <row r="203" spans="1:20" ht="15" customHeight="1" x14ac:dyDescent="0.4">
      <c r="A203" s="42" t="s">
        <v>418</v>
      </c>
      <c r="B203" s="41" t="s">
        <v>403</v>
      </c>
      <c r="C203" s="44">
        <v>0</v>
      </c>
      <c r="D203" s="44">
        <v>0</v>
      </c>
      <c r="E203" s="44">
        <v>0</v>
      </c>
      <c r="F203" s="44">
        <v>0</v>
      </c>
      <c r="G203" s="44">
        <v>0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1">
        <v>1</v>
      </c>
    </row>
    <row r="204" spans="1:20" x14ac:dyDescent="0.4">
      <c r="A204" s="37" t="s">
        <v>419</v>
      </c>
      <c r="B204" s="38" t="s">
        <v>747</v>
      </c>
      <c r="C204" s="39">
        <v>-245375534.55000001</v>
      </c>
      <c r="D204" s="39">
        <v>4264932019.8899999</v>
      </c>
      <c r="E204" s="39">
        <v>2879211546.1900001</v>
      </c>
      <c r="F204" s="39">
        <v>-243444202.91999999</v>
      </c>
      <c r="G204" s="39">
        <v>-43115787.979999997</v>
      </c>
      <c r="H204" s="39">
        <v>-98468299.120000005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39">
        <v>2494183256.1700001</v>
      </c>
      <c r="S204" s="39">
        <v>-385028290.01999998</v>
      </c>
      <c r="T204" s="41">
        <v>2</v>
      </c>
    </row>
  </sheetData>
  <phoneticPr fontId="3" type="noConversion"/>
  <dataValidations disablePrompts="1" count="2">
    <dataValidation type="decimal" allowBlank="1" showInputMessage="1" showErrorMessage="1" error="The value entered exceeded the allowed range." sqref="C205:S1048576" xr:uid="{3D3436E5-A949-4827-86CB-BDEE6B196702}"/>
    <dataValidation type="textLength" allowBlank="1" showInputMessage="1" showErrorMessage="1" error="The number of entered characters exceeds the maximum number of allowed characters." sqref="A205:B1048576" xr:uid="{273C04C6-07C4-41C9-92E7-A2084C78B78E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BD4-8F5F-4FF8-90CC-689FD1B075D1}">
  <dimension ref="A1:T147"/>
  <sheetViews>
    <sheetView workbookViewId="0">
      <selection activeCell="A2" sqref="A2:S147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421</v>
      </c>
      <c r="T1" s="36" t="s">
        <v>19</v>
      </c>
    </row>
    <row r="2" spans="1:20" ht="15" customHeight="1" x14ac:dyDescent="0.4">
      <c r="A2" s="37" t="s">
        <v>422</v>
      </c>
      <c r="B2" s="38" t="s">
        <v>423</v>
      </c>
      <c r="C2" s="39">
        <v>417932539.05000001</v>
      </c>
      <c r="D2" s="39">
        <v>1431648951.05</v>
      </c>
      <c r="E2" s="39">
        <v>3951108675.8200002</v>
      </c>
      <c r="F2" s="39">
        <v>235461030.84</v>
      </c>
      <c r="G2" s="39">
        <v>145881905.52000001</v>
      </c>
      <c r="H2" s="39">
        <v>159769890.34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541112826.70000005</v>
      </c>
      <c r="S2" s="39">
        <v>-890536124.35000002</v>
      </c>
      <c r="T2" s="41">
        <v>2</v>
      </c>
    </row>
    <row r="3" spans="1:20" ht="15" customHeight="1" x14ac:dyDescent="0.4">
      <c r="A3" s="37" t="s">
        <v>424</v>
      </c>
      <c r="B3" s="38" t="s">
        <v>425</v>
      </c>
      <c r="C3" s="39">
        <v>417932524.05000001</v>
      </c>
      <c r="D3" s="39">
        <v>1430964885.05</v>
      </c>
      <c r="E3" s="39">
        <v>3943462154.8200002</v>
      </c>
      <c r="F3" s="39">
        <v>235461025.84</v>
      </c>
      <c r="G3" s="39">
        <v>145881905.52000001</v>
      </c>
      <c r="H3" s="39">
        <v>157518166.18000001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538861097.53999996</v>
      </c>
      <c r="S3" s="39">
        <v>-892103787.50999999</v>
      </c>
      <c r="T3" s="41">
        <v>2</v>
      </c>
    </row>
    <row r="4" spans="1:20" ht="15" customHeight="1" x14ac:dyDescent="0.4">
      <c r="A4" s="42" t="s">
        <v>426</v>
      </c>
      <c r="B4" s="41" t="s">
        <v>427</v>
      </c>
      <c r="C4" s="43">
        <v>85470656</v>
      </c>
      <c r="D4" s="43">
        <v>134957920</v>
      </c>
      <c r="E4" s="43">
        <v>366951007.81999999</v>
      </c>
      <c r="F4" s="43">
        <v>11939353.470000001</v>
      </c>
      <c r="G4" s="43">
        <v>24790708.82</v>
      </c>
      <c r="H4" s="43">
        <v>8298747.6299999999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3">
        <v>45028809.920000002</v>
      </c>
      <c r="S4" s="43">
        <v>-89929110.079999998</v>
      </c>
      <c r="T4" s="41">
        <v>1</v>
      </c>
    </row>
    <row r="5" spans="1:20" ht="15" customHeight="1" x14ac:dyDescent="0.4">
      <c r="A5" s="42" t="s">
        <v>428</v>
      </c>
      <c r="B5" s="41" t="s">
        <v>429</v>
      </c>
      <c r="C5" s="43">
        <v>319241489.05000001</v>
      </c>
      <c r="D5" s="43">
        <v>1237562782.8499999</v>
      </c>
      <c r="E5" s="43">
        <v>3281206794.8000002</v>
      </c>
      <c r="F5" s="43">
        <v>213922017.15000001</v>
      </c>
      <c r="G5" s="43">
        <v>113739528.95</v>
      </c>
      <c r="H5" s="43">
        <v>145207625.52000001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472869171.62</v>
      </c>
      <c r="S5" s="43">
        <v>-764693611.23000002</v>
      </c>
      <c r="T5" s="41">
        <v>1</v>
      </c>
    </row>
    <row r="6" spans="1:20" ht="15" customHeight="1" x14ac:dyDescent="0.4">
      <c r="A6" s="42" t="s">
        <v>430</v>
      </c>
      <c r="B6" s="41" t="s">
        <v>431</v>
      </c>
      <c r="C6" s="43">
        <v>6074591</v>
      </c>
      <c r="D6" s="43">
        <v>34431650.200000003</v>
      </c>
      <c r="E6" s="43">
        <v>87912096.200000003</v>
      </c>
      <c r="F6" s="43">
        <v>5607110.46</v>
      </c>
      <c r="G6" s="43">
        <v>5925504.04</v>
      </c>
      <c r="H6" s="43">
        <v>3059391.18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3">
        <v>14592005.68</v>
      </c>
      <c r="S6" s="43">
        <v>-19839644.52</v>
      </c>
      <c r="T6" s="41">
        <v>1</v>
      </c>
    </row>
    <row r="7" spans="1:20" ht="15" customHeight="1" x14ac:dyDescent="0.4">
      <c r="A7" s="42" t="s">
        <v>432</v>
      </c>
      <c r="B7" s="41" t="s">
        <v>433</v>
      </c>
      <c r="C7" s="43">
        <v>7145788</v>
      </c>
      <c r="D7" s="43">
        <v>24012532</v>
      </c>
      <c r="E7" s="43">
        <v>207392256</v>
      </c>
      <c r="F7" s="43">
        <v>3992544.76</v>
      </c>
      <c r="G7" s="43">
        <v>1426163.71</v>
      </c>
      <c r="H7" s="43">
        <v>952401.85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3">
        <v>6371110.3200000003</v>
      </c>
      <c r="S7" s="43">
        <v>-17641421.68</v>
      </c>
      <c r="T7" s="41">
        <v>1</v>
      </c>
    </row>
    <row r="8" spans="1:20" ht="15" customHeight="1" x14ac:dyDescent="0.4">
      <c r="A8" s="42" t="s">
        <v>434</v>
      </c>
      <c r="B8" s="41" t="s">
        <v>435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436</v>
      </c>
      <c r="B9" s="41" t="s">
        <v>437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438</v>
      </c>
      <c r="B10" s="41" t="s">
        <v>439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440</v>
      </c>
      <c r="B11" s="41" t="s">
        <v>441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1">
        <v>1</v>
      </c>
    </row>
    <row r="12" spans="1:20" ht="15" customHeight="1" x14ac:dyDescent="0.4">
      <c r="A12" s="42" t="s">
        <v>442</v>
      </c>
      <c r="B12" s="41" t="s">
        <v>443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1">
        <v>1</v>
      </c>
    </row>
    <row r="13" spans="1:20" ht="15" customHeight="1" x14ac:dyDescent="0.4">
      <c r="A13" s="42" t="s">
        <v>444</v>
      </c>
      <c r="B13" s="41" t="s">
        <v>748</v>
      </c>
      <c r="C13" s="44">
        <v>0</v>
      </c>
      <c r="D13" s="44">
        <v>0</v>
      </c>
      <c r="E13" s="43">
        <v>1731000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446</v>
      </c>
      <c r="B14" s="41" t="s">
        <v>447</v>
      </c>
      <c r="C14" s="44">
        <v>15</v>
      </c>
      <c r="D14" s="43">
        <v>684066</v>
      </c>
      <c r="E14" s="43">
        <v>1835321</v>
      </c>
      <c r="F14" s="44">
        <v>5</v>
      </c>
      <c r="G14" s="44">
        <v>0</v>
      </c>
      <c r="H14" s="43">
        <v>2251724.16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3">
        <v>2251729.16</v>
      </c>
      <c r="S14" s="43">
        <v>1567663.16</v>
      </c>
      <c r="T14" s="41">
        <v>1</v>
      </c>
    </row>
    <row r="15" spans="1:20" ht="15" customHeight="1" x14ac:dyDescent="0.4">
      <c r="A15" s="42" t="s">
        <v>448</v>
      </c>
      <c r="B15" s="41" t="s">
        <v>449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450</v>
      </c>
      <c r="B16" s="41" t="s">
        <v>451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737</v>
      </c>
      <c r="B17" s="41" t="s">
        <v>738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452</v>
      </c>
      <c r="B18" s="41" t="s">
        <v>453</v>
      </c>
      <c r="C18" s="44">
        <v>0</v>
      </c>
      <c r="D18" s="44">
        <v>0</v>
      </c>
      <c r="E18" s="43">
        <v>4080200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1">
        <v>1</v>
      </c>
    </row>
    <row r="19" spans="1:20" ht="15" customHeight="1" x14ac:dyDescent="0.4">
      <c r="A19" s="37" t="s">
        <v>454</v>
      </c>
      <c r="B19" s="38" t="s">
        <v>455</v>
      </c>
      <c r="C19" s="39">
        <v>295731186.14999998</v>
      </c>
      <c r="D19" s="39">
        <v>1040269242.77</v>
      </c>
      <c r="E19" s="39">
        <v>3045739380.4499998</v>
      </c>
      <c r="F19" s="39">
        <v>176807870.63999999</v>
      </c>
      <c r="G19" s="39">
        <v>99782883.659999996</v>
      </c>
      <c r="H19" s="39">
        <v>124611184.67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39">
        <v>401201938.97000003</v>
      </c>
      <c r="S19" s="39">
        <v>-639067303.79999995</v>
      </c>
      <c r="T19" s="41">
        <v>2</v>
      </c>
    </row>
    <row r="20" spans="1:20" ht="15" customHeight="1" x14ac:dyDescent="0.4">
      <c r="A20" s="37" t="s">
        <v>456</v>
      </c>
      <c r="B20" s="38" t="s">
        <v>457</v>
      </c>
      <c r="C20" s="39">
        <v>281706585.11000001</v>
      </c>
      <c r="D20" s="39">
        <v>1016323935.8099999</v>
      </c>
      <c r="E20" s="39">
        <v>2993711522.3600001</v>
      </c>
      <c r="F20" s="39">
        <v>176807870.63999999</v>
      </c>
      <c r="G20" s="39">
        <v>99782883.659999996</v>
      </c>
      <c r="H20" s="39">
        <v>124405925.75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39">
        <v>400996680.05000001</v>
      </c>
      <c r="S20" s="39">
        <v>-615327255.75999999</v>
      </c>
      <c r="T20" s="41">
        <v>2</v>
      </c>
    </row>
    <row r="21" spans="1:20" ht="15" customHeight="1" x14ac:dyDescent="0.4">
      <c r="A21" s="42" t="s">
        <v>458</v>
      </c>
      <c r="B21" s="41" t="s">
        <v>459</v>
      </c>
      <c r="C21" s="43">
        <v>50734519.210000001</v>
      </c>
      <c r="D21" s="43">
        <v>105317592.69</v>
      </c>
      <c r="E21" s="43">
        <v>392924340.73000002</v>
      </c>
      <c r="F21" s="43">
        <v>17183998.75</v>
      </c>
      <c r="G21" s="43">
        <v>18067409.300000001</v>
      </c>
      <c r="H21" s="43">
        <v>14803670.869999999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50055078.920000002</v>
      </c>
      <c r="S21" s="43">
        <v>-55262513.770000003</v>
      </c>
      <c r="T21" s="41">
        <v>1</v>
      </c>
    </row>
    <row r="22" spans="1:20" ht="15" customHeight="1" x14ac:dyDescent="0.4">
      <c r="A22" s="42" t="s">
        <v>460</v>
      </c>
      <c r="B22" s="41" t="s">
        <v>461</v>
      </c>
      <c r="C22" s="43">
        <v>221807896.41999999</v>
      </c>
      <c r="D22" s="43">
        <v>866267304.67999995</v>
      </c>
      <c r="E22" s="43">
        <v>2351078893.73</v>
      </c>
      <c r="F22" s="43">
        <v>151535847.69999999</v>
      </c>
      <c r="G22" s="43">
        <v>72856547.060000002</v>
      </c>
      <c r="H22" s="43">
        <v>102005552.08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3">
        <v>326397946.83999997</v>
      </c>
      <c r="S22" s="43">
        <v>-539869357.84000003</v>
      </c>
      <c r="T22" s="41">
        <v>1</v>
      </c>
    </row>
    <row r="23" spans="1:20" ht="15" customHeight="1" x14ac:dyDescent="0.4">
      <c r="A23" s="42" t="s">
        <v>462</v>
      </c>
      <c r="B23" s="41" t="s">
        <v>463</v>
      </c>
      <c r="C23" s="43">
        <v>4586717.76</v>
      </c>
      <c r="D23" s="43">
        <v>28582593</v>
      </c>
      <c r="E23" s="43">
        <v>76120642.439999998</v>
      </c>
      <c r="F23" s="43">
        <v>4110316.69</v>
      </c>
      <c r="G23" s="43">
        <v>7812391.8300000001</v>
      </c>
      <c r="H23" s="43">
        <v>5818403.5999999996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3">
        <v>17741112.120000001</v>
      </c>
      <c r="S23" s="43">
        <v>-10841480.880000001</v>
      </c>
      <c r="T23" s="41">
        <v>1</v>
      </c>
    </row>
    <row r="24" spans="1:20" ht="15" customHeight="1" x14ac:dyDescent="0.4">
      <c r="A24" s="42" t="s">
        <v>464</v>
      </c>
      <c r="B24" s="41" t="s">
        <v>465</v>
      </c>
      <c r="C24" s="43">
        <v>4577451.72</v>
      </c>
      <c r="D24" s="43">
        <v>16156445.439999999</v>
      </c>
      <c r="E24" s="43">
        <v>173597545.46000001</v>
      </c>
      <c r="F24" s="43">
        <v>3977707.5</v>
      </c>
      <c r="G24" s="43">
        <v>1046535.47</v>
      </c>
      <c r="H24" s="43">
        <v>1778299.2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3">
        <v>6802542.1699999999</v>
      </c>
      <c r="S24" s="43">
        <v>-9353903.2699999996</v>
      </c>
      <c r="T24" s="41">
        <v>1</v>
      </c>
    </row>
    <row r="25" spans="1:20" ht="15" customHeight="1" x14ac:dyDescent="0.4">
      <c r="A25" s="42" t="s">
        <v>466</v>
      </c>
      <c r="B25" s="41" t="s">
        <v>467</v>
      </c>
      <c r="C25" s="44">
        <v>0</v>
      </c>
      <c r="D25" s="44">
        <v>0</v>
      </c>
      <c r="E25" s="43">
        <v>-9900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1">
        <v>1</v>
      </c>
    </row>
    <row r="26" spans="1:20" ht="15" customHeight="1" x14ac:dyDescent="0.4">
      <c r="A26" s="42" t="s">
        <v>468</v>
      </c>
      <c r="B26" s="41" t="s">
        <v>469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470</v>
      </c>
      <c r="B27" s="41" t="s">
        <v>471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1">
        <v>1</v>
      </c>
    </row>
    <row r="28" spans="1:20" ht="15" customHeight="1" x14ac:dyDescent="0.4">
      <c r="A28" s="42" t="s">
        <v>472</v>
      </c>
      <c r="B28" s="41" t="s">
        <v>473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1">
        <v>1</v>
      </c>
    </row>
    <row r="29" spans="1:20" ht="15" customHeight="1" x14ac:dyDescent="0.4">
      <c r="A29" s="42" t="s">
        <v>474</v>
      </c>
      <c r="B29" s="41" t="s">
        <v>475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476</v>
      </c>
      <c r="B30" s="41" t="s">
        <v>477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42" t="s">
        <v>478</v>
      </c>
      <c r="B31" s="41" t="s">
        <v>479</v>
      </c>
      <c r="C31" s="43">
        <v>13905413</v>
      </c>
      <c r="D31" s="43">
        <v>23826118.920000002</v>
      </c>
      <c r="E31" s="43">
        <v>52007319.25</v>
      </c>
      <c r="F31" s="44">
        <v>0</v>
      </c>
      <c r="G31" s="44">
        <v>0</v>
      </c>
      <c r="H31" s="43">
        <v>205258.92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3">
        <v>205258.92</v>
      </c>
      <c r="S31" s="43">
        <v>-23620860</v>
      </c>
      <c r="T31" s="41">
        <v>1</v>
      </c>
    </row>
    <row r="32" spans="1:20" ht="15" customHeight="1" x14ac:dyDescent="0.4">
      <c r="A32" s="42" t="s">
        <v>480</v>
      </c>
      <c r="B32" s="41" t="s">
        <v>481</v>
      </c>
      <c r="C32" s="43">
        <v>119188.04</v>
      </c>
      <c r="D32" s="43">
        <v>119188.04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3">
        <v>-119188.04</v>
      </c>
      <c r="T32" s="41">
        <v>1</v>
      </c>
    </row>
    <row r="33" spans="1:20" ht="15" customHeight="1" x14ac:dyDescent="0.4">
      <c r="A33" s="42" t="s">
        <v>482</v>
      </c>
      <c r="B33" s="41" t="s">
        <v>483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1">
        <v>1</v>
      </c>
    </row>
    <row r="34" spans="1:20" ht="15" customHeight="1" x14ac:dyDescent="0.4">
      <c r="A34" s="42" t="s">
        <v>739</v>
      </c>
      <c r="B34" s="41" t="s">
        <v>740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1">
        <v>1</v>
      </c>
    </row>
    <row r="35" spans="1:20" ht="15" customHeight="1" x14ac:dyDescent="0.4">
      <c r="A35" s="42" t="s">
        <v>484</v>
      </c>
      <c r="B35" s="41" t="s">
        <v>485</v>
      </c>
      <c r="C35" s="44">
        <v>0</v>
      </c>
      <c r="D35" s="44">
        <v>0</v>
      </c>
      <c r="E35" s="43">
        <v>20538.84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1">
        <v>1</v>
      </c>
    </row>
    <row r="36" spans="1:20" ht="15" customHeight="1" x14ac:dyDescent="0.4">
      <c r="A36" s="37" t="s">
        <v>486</v>
      </c>
      <c r="B36" s="38" t="s">
        <v>487</v>
      </c>
      <c r="C36" s="39">
        <v>122201352.90000001</v>
      </c>
      <c r="D36" s="39">
        <v>391379708.27999997</v>
      </c>
      <c r="E36" s="39">
        <v>905369295.37</v>
      </c>
      <c r="F36" s="39">
        <v>58653160.200000003</v>
      </c>
      <c r="G36" s="39">
        <v>46099021.859999999</v>
      </c>
      <c r="H36" s="39">
        <v>35158705.670000002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39">
        <v>139910887.72999999</v>
      </c>
      <c r="S36" s="39">
        <v>-251468820.55000001</v>
      </c>
      <c r="T36" s="41">
        <v>2</v>
      </c>
    </row>
    <row r="37" spans="1:20" ht="15" customHeight="1" x14ac:dyDescent="0.4">
      <c r="A37" s="37" t="s">
        <v>488</v>
      </c>
      <c r="B37" s="38" t="s">
        <v>749</v>
      </c>
      <c r="C37" s="39">
        <v>230155956.13</v>
      </c>
      <c r="D37" s="39">
        <v>538130067.37</v>
      </c>
      <c r="E37" s="39">
        <v>1941358563.45</v>
      </c>
      <c r="F37" s="39">
        <v>136104248.09999999</v>
      </c>
      <c r="G37" s="39">
        <v>172166903.75999999</v>
      </c>
      <c r="H37" s="39">
        <v>110181712.92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39">
        <v>418452864.77999997</v>
      </c>
      <c r="S37" s="39">
        <v>-119677202.59</v>
      </c>
      <c r="T37" s="41">
        <v>2</v>
      </c>
    </row>
    <row r="38" spans="1:20" ht="15" customHeight="1" x14ac:dyDescent="0.4">
      <c r="A38" s="42" t="s">
        <v>490</v>
      </c>
      <c r="B38" s="41" t="s">
        <v>491</v>
      </c>
      <c r="C38" s="43">
        <v>88298623.519999996</v>
      </c>
      <c r="D38" s="43">
        <v>259668458.19</v>
      </c>
      <c r="E38" s="43">
        <v>955757028.17999995</v>
      </c>
      <c r="F38" s="43">
        <v>61116484.259999998</v>
      </c>
      <c r="G38" s="43">
        <v>69099494.5</v>
      </c>
      <c r="H38" s="43">
        <v>62213259.93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192429238.69</v>
      </c>
      <c r="S38" s="43">
        <v>-67239219.5</v>
      </c>
      <c r="T38" s="41">
        <v>1</v>
      </c>
    </row>
    <row r="39" spans="1:20" ht="15" customHeight="1" x14ac:dyDescent="0.4">
      <c r="A39" s="42" t="s">
        <v>492</v>
      </c>
      <c r="B39" s="41" t="s">
        <v>493</v>
      </c>
      <c r="C39" s="44">
        <v>0</v>
      </c>
      <c r="D39" s="44">
        <v>0</v>
      </c>
      <c r="E39" s="43">
        <v>17858974</v>
      </c>
      <c r="F39" s="43">
        <v>3584613</v>
      </c>
      <c r="G39" s="43">
        <v>7489867</v>
      </c>
      <c r="H39" s="43">
        <v>14893485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3">
        <v>25967965</v>
      </c>
      <c r="S39" s="43">
        <v>25967965</v>
      </c>
      <c r="T39" s="41">
        <v>1</v>
      </c>
    </row>
    <row r="40" spans="1:20" ht="15" customHeight="1" x14ac:dyDescent="0.4">
      <c r="A40" s="42" t="s">
        <v>494</v>
      </c>
      <c r="B40" s="41" t="s">
        <v>495</v>
      </c>
      <c r="C40" s="44">
        <v>0</v>
      </c>
      <c r="D40" s="44">
        <v>0</v>
      </c>
      <c r="E40" s="44">
        <v>0</v>
      </c>
      <c r="F40" s="43">
        <v>1509946</v>
      </c>
      <c r="G40" s="43">
        <v>-1509946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741</v>
      </c>
      <c r="B41" s="41" t="s">
        <v>742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496</v>
      </c>
      <c r="B42" s="41" t="s">
        <v>497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498</v>
      </c>
      <c r="B43" s="41" t="s">
        <v>499</v>
      </c>
      <c r="C43" s="43">
        <v>9114178</v>
      </c>
      <c r="D43" s="43">
        <v>28922567</v>
      </c>
      <c r="E43" s="43">
        <v>118778108.43000001</v>
      </c>
      <c r="F43" s="43">
        <v>6659130</v>
      </c>
      <c r="G43" s="43">
        <v>7247584.2599999998</v>
      </c>
      <c r="H43" s="43">
        <v>11559346.74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3">
        <v>25466061</v>
      </c>
      <c r="S43" s="43">
        <v>-3456506</v>
      </c>
      <c r="T43" s="41">
        <v>1</v>
      </c>
    </row>
    <row r="44" spans="1:20" ht="15" customHeight="1" x14ac:dyDescent="0.4">
      <c r="A44" s="42" t="s">
        <v>500</v>
      </c>
      <c r="B44" s="41" t="s">
        <v>501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502</v>
      </c>
      <c r="B45" s="41" t="s">
        <v>503</v>
      </c>
      <c r="C45" s="43">
        <v>1110818.2</v>
      </c>
      <c r="D45" s="43">
        <v>8044503.2000000002</v>
      </c>
      <c r="E45" s="43">
        <v>41221622.399999999</v>
      </c>
      <c r="F45" s="43">
        <v>366893.1</v>
      </c>
      <c r="G45" s="43">
        <v>1450280.24</v>
      </c>
      <c r="H45" s="43">
        <v>2157264.0099999998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3">
        <v>3974437.35</v>
      </c>
      <c r="S45" s="43">
        <v>-4070065.85</v>
      </c>
      <c r="T45" s="41">
        <v>1</v>
      </c>
    </row>
    <row r="46" spans="1:20" ht="15" customHeight="1" x14ac:dyDescent="0.4">
      <c r="A46" s="42" t="s">
        <v>504</v>
      </c>
      <c r="B46" s="41" t="s">
        <v>505</v>
      </c>
      <c r="C46" s="44">
        <v>0</v>
      </c>
      <c r="D46" s="43">
        <v>510000</v>
      </c>
      <c r="E46" s="43">
        <v>2523229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3">
        <v>-510000</v>
      </c>
      <c r="T46" s="41">
        <v>1</v>
      </c>
    </row>
    <row r="47" spans="1:20" ht="15" customHeight="1" x14ac:dyDescent="0.4">
      <c r="A47" s="42" t="s">
        <v>506</v>
      </c>
      <c r="B47" s="41" t="s">
        <v>507</v>
      </c>
      <c r="C47" s="43">
        <v>296964.78999999998</v>
      </c>
      <c r="D47" s="43">
        <v>1277021.6100000001</v>
      </c>
      <c r="E47" s="43">
        <v>7448731.6799999997</v>
      </c>
      <c r="F47" s="43">
        <v>312837.84999999998</v>
      </c>
      <c r="G47" s="43">
        <v>453846.03</v>
      </c>
      <c r="H47" s="43">
        <v>726350.23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1493034.11</v>
      </c>
      <c r="S47" s="43">
        <v>216012.5</v>
      </c>
      <c r="T47" s="41">
        <v>1</v>
      </c>
    </row>
    <row r="48" spans="1:20" ht="15" customHeight="1" x14ac:dyDescent="0.4">
      <c r="A48" s="42" t="s">
        <v>508</v>
      </c>
      <c r="B48" s="41" t="s">
        <v>509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510</v>
      </c>
      <c r="B49" s="41" t="s">
        <v>511</v>
      </c>
      <c r="C49" s="43">
        <v>1216185.6399999999</v>
      </c>
      <c r="D49" s="43">
        <v>4102958.15</v>
      </c>
      <c r="E49" s="43">
        <v>42576130.93</v>
      </c>
      <c r="F49" s="43">
        <v>1615171.29</v>
      </c>
      <c r="G49" s="43">
        <v>2589621.21</v>
      </c>
      <c r="H49" s="43">
        <v>1065478.81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3">
        <v>5270271.3099999996</v>
      </c>
      <c r="S49" s="43">
        <v>1167313.1599999999</v>
      </c>
      <c r="T49" s="41">
        <v>1</v>
      </c>
    </row>
    <row r="50" spans="1:20" ht="15" customHeight="1" x14ac:dyDescent="0.4">
      <c r="A50" s="42" t="s">
        <v>512</v>
      </c>
      <c r="B50" s="41" t="s">
        <v>513</v>
      </c>
      <c r="C50" s="43">
        <v>382323.82</v>
      </c>
      <c r="D50" s="43">
        <v>1125963.8700000001</v>
      </c>
      <c r="E50" s="43">
        <v>4797786.47</v>
      </c>
      <c r="F50" s="43">
        <v>367249.16</v>
      </c>
      <c r="G50" s="43">
        <v>320725.7</v>
      </c>
      <c r="H50" s="43">
        <v>357617.79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3">
        <v>1045592.65</v>
      </c>
      <c r="S50" s="43">
        <v>-80371.22</v>
      </c>
      <c r="T50" s="41">
        <v>1</v>
      </c>
    </row>
    <row r="51" spans="1:20" ht="15" customHeight="1" x14ac:dyDescent="0.4">
      <c r="A51" s="42" t="s">
        <v>514</v>
      </c>
      <c r="B51" s="41" t="s">
        <v>515</v>
      </c>
      <c r="C51" s="43">
        <v>1775444.02</v>
      </c>
      <c r="D51" s="43">
        <v>2648026.5299999998</v>
      </c>
      <c r="E51" s="43">
        <v>10490836.449999999</v>
      </c>
      <c r="F51" s="43">
        <v>996211.92</v>
      </c>
      <c r="G51" s="43">
        <v>1058966.92</v>
      </c>
      <c r="H51" s="43">
        <v>1683992.48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3">
        <v>3739171.32</v>
      </c>
      <c r="S51" s="43">
        <v>1091144.79</v>
      </c>
      <c r="T51" s="41">
        <v>1</v>
      </c>
    </row>
    <row r="52" spans="1:20" ht="15" customHeight="1" x14ac:dyDescent="0.4">
      <c r="A52" s="42" t="s">
        <v>516</v>
      </c>
      <c r="B52" s="41" t="s">
        <v>517</v>
      </c>
      <c r="C52" s="43">
        <v>19045571.27</v>
      </c>
      <c r="D52" s="43">
        <v>56520831.710000001</v>
      </c>
      <c r="E52" s="43">
        <v>211389519.88</v>
      </c>
      <c r="F52" s="43">
        <v>12736443.35</v>
      </c>
      <c r="G52" s="43">
        <v>12793777.710000001</v>
      </c>
      <c r="H52" s="43">
        <v>16148527.32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3">
        <v>41678748.380000003</v>
      </c>
      <c r="S52" s="43">
        <v>-14842083.33</v>
      </c>
      <c r="T52" s="41">
        <v>1</v>
      </c>
    </row>
    <row r="53" spans="1:20" ht="15" customHeight="1" x14ac:dyDescent="0.4">
      <c r="A53" s="42" t="s">
        <v>518</v>
      </c>
      <c r="B53" s="41" t="s">
        <v>519</v>
      </c>
      <c r="C53" s="43">
        <v>341779.4</v>
      </c>
      <c r="D53" s="43">
        <v>1138816</v>
      </c>
      <c r="E53" s="43">
        <v>4270230</v>
      </c>
      <c r="F53" s="43">
        <v>387504.82</v>
      </c>
      <c r="G53" s="43">
        <v>387504.82</v>
      </c>
      <c r="H53" s="43">
        <v>387504.82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3">
        <v>1162514.46</v>
      </c>
      <c r="S53" s="43">
        <v>23698.46</v>
      </c>
      <c r="T53" s="41">
        <v>1</v>
      </c>
    </row>
    <row r="54" spans="1:20" ht="15" customHeight="1" x14ac:dyDescent="0.4">
      <c r="A54" s="42" t="s">
        <v>520</v>
      </c>
      <c r="B54" s="41" t="s">
        <v>521</v>
      </c>
      <c r="C54" s="44">
        <v>0</v>
      </c>
      <c r="D54" s="44">
        <v>0</v>
      </c>
      <c r="E54" s="43">
        <v>4432000</v>
      </c>
      <c r="F54" s="43">
        <v>42931.03</v>
      </c>
      <c r="G54" s="44">
        <v>0</v>
      </c>
      <c r="H54" s="43">
        <v>110066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3">
        <v>152997.03</v>
      </c>
      <c r="S54" s="43">
        <v>152997.03</v>
      </c>
      <c r="T54" s="41">
        <v>1</v>
      </c>
    </row>
    <row r="55" spans="1:20" ht="15" customHeight="1" x14ac:dyDescent="0.4">
      <c r="A55" s="42" t="s">
        <v>522</v>
      </c>
      <c r="B55" s="41" t="s">
        <v>523</v>
      </c>
      <c r="C55" s="43">
        <v>194256</v>
      </c>
      <c r="D55" s="43">
        <v>355818</v>
      </c>
      <c r="E55" s="43">
        <v>1392543</v>
      </c>
      <c r="F55" s="43">
        <v>33780</v>
      </c>
      <c r="G55" s="43">
        <v>37922.410000000003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3">
        <v>71702.41</v>
      </c>
      <c r="S55" s="43">
        <v>-284115.59000000003</v>
      </c>
      <c r="T55" s="41">
        <v>1</v>
      </c>
    </row>
    <row r="56" spans="1:20" ht="15" customHeight="1" x14ac:dyDescent="0.4">
      <c r="A56" s="42" t="s">
        <v>524</v>
      </c>
      <c r="B56" s="41" t="s">
        <v>525</v>
      </c>
      <c r="C56" s="43">
        <v>3285012.66</v>
      </c>
      <c r="D56" s="43">
        <v>11295985.65</v>
      </c>
      <c r="E56" s="43">
        <v>45726194.609999999</v>
      </c>
      <c r="F56" s="43">
        <v>3802677.52</v>
      </c>
      <c r="G56" s="43">
        <v>3790727.29</v>
      </c>
      <c r="H56" s="43">
        <v>3766135.15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3">
        <v>11359539.960000001</v>
      </c>
      <c r="S56" s="43">
        <v>63554.31</v>
      </c>
      <c r="T56" s="41">
        <v>1</v>
      </c>
    </row>
    <row r="57" spans="1:20" ht="15" customHeight="1" x14ac:dyDescent="0.4">
      <c r="A57" s="42" t="s">
        <v>526</v>
      </c>
      <c r="B57" s="41" t="s">
        <v>527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1">
        <v>1</v>
      </c>
    </row>
    <row r="58" spans="1:20" ht="15" customHeight="1" x14ac:dyDescent="0.4">
      <c r="A58" s="42" t="s">
        <v>528</v>
      </c>
      <c r="B58" s="41" t="s">
        <v>529</v>
      </c>
      <c r="C58" s="43">
        <v>42583.9</v>
      </c>
      <c r="D58" s="43">
        <v>127751.7</v>
      </c>
      <c r="E58" s="43">
        <v>438164.53</v>
      </c>
      <c r="F58" s="43">
        <v>22122.59</v>
      </c>
      <c r="G58" s="43">
        <v>22122.59</v>
      </c>
      <c r="H58" s="43">
        <v>22122.59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3">
        <v>66367.77</v>
      </c>
      <c r="S58" s="43">
        <v>-61383.93</v>
      </c>
      <c r="T58" s="41">
        <v>1</v>
      </c>
    </row>
    <row r="59" spans="1:20" ht="15" customHeight="1" x14ac:dyDescent="0.4">
      <c r="A59" s="42" t="s">
        <v>530</v>
      </c>
      <c r="B59" s="41" t="s">
        <v>531</v>
      </c>
      <c r="C59" s="43">
        <v>886225.58</v>
      </c>
      <c r="D59" s="43">
        <v>3434625.83</v>
      </c>
      <c r="E59" s="43">
        <v>62437237.659999996</v>
      </c>
      <c r="F59" s="43">
        <v>232705.44</v>
      </c>
      <c r="G59" s="43">
        <v>742538.15</v>
      </c>
      <c r="H59" s="43">
        <v>1273332.79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3">
        <v>2248576.38</v>
      </c>
      <c r="S59" s="43">
        <v>-1186049.45</v>
      </c>
      <c r="T59" s="41">
        <v>1</v>
      </c>
    </row>
    <row r="60" spans="1:20" ht="15" customHeight="1" x14ac:dyDescent="0.4">
      <c r="A60" s="42" t="s">
        <v>532</v>
      </c>
      <c r="B60" s="41" t="s">
        <v>533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534</v>
      </c>
      <c r="B61" s="41" t="s">
        <v>535</v>
      </c>
      <c r="C61" s="43">
        <v>1331181</v>
      </c>
      <c r="D61" s="43">
        <v>5594245</v>
      </c>
      <c r="E61" s="43">
        <v>21771022.420000002</v>
      </c>
      <c r="F61" s="43">
        <v>1558771.5</v>
      </c>
      <c r="G61" s="43">
        <v>1856462.73</v>
      </c>
      <c r="H61" s="43">
        <v>1941049.46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3">
        <v>5356283.6900000004</v>
      </c>
      <c r="S61" s="43">
        <v>-237961.31</v>
      </c>
      <c r="T61" s="41">
        <v>1</v>
      </c>
    </row>
    <row r="62" spans="1:20" ht="15" customHeight="1" x14ac:dyDescent="0.4">
      <c r="A62" s="42" t="s">
        <v>536</v>
      </c>
      <c r="B62" s="41" t="s">
        <v>537</v>
      </c>
      <c r="C62" s="43">
        <v>19314401.989999998</v>
      </c>
      <c r="D62" s="43">
        <v>65978111.68</v>
      </c>
      <c r="E62" s="43">
        <v>228349859.56</v>
      </c>
      <c r="F62" s="43">
        <v>4544181.8600000003</v>
      </c>
      <c r="G62" s="43">
        <v>1629737.67</v>
      </c>
      <c r="H62" s="43">
        <v>3201981.05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3">
        <v>9375900.5800000001</v>
      </c>
      <c r="S62" s="43">
        <v>-56602211.100000001</v>
      </c>
      <c r="T62" s="41">
        <v>1</v>
      </c>
    </row>
    <row r="63" spans="1:20" ht="15" customHeight="1" x14ac:dyDescent="0.4">
      <c r="A63" s="42" t="s">
        <v>538</v>
      </c>
      <c r="B63" s="41" t="s">
        <v>539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540</v>
      </c>
      <c r="B64" s="41" t="s">
        <v>541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42" t="s">
        <v>542</v>
      </c>
      <c r="B65" s="41" t="s">
        <v>543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1">
        <v>1</v>
      </c>
    </row>
    <row r="66" spans="1:20" ht="15" customHeight="1" x14ac:dyDescent="0.4">
      <c r="A66" s="42" t="s">
        <v>544</v>
      </c>
      <c r="B66" s="41" t="s">
        <v>545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546</v>
      </c>
      <c r="B67" s="41" t="s">
        <v>547</v>
      </c>
      <c r="C67" s="43">
        <v>83520406.340000004</v>
      </c>
      <c r="D67" s="43">
        <v>87384383.25</v>
      </c>
      <c r="E67" s="43">
        <v>159699344.25</v>
      </c>
      <c r="F67" s="43">
        <v>36214593.409999996</v>
      </c>
      <c r="G67" s="43">
        <v>62705670.530000001</v>
      </c>
      <c r="H67" s="43">
        <v>-11325801.25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3">
        <v>87594462.689999998</v>
      </c>
      <c r="S67" s="43">
        <v>210079.44</v>
      </c>
      <c r="T67" s="41">
        <v>1</v>
      </c>
    </row>
    <row r="68" spans="1:20" ht="15" customHeight="1" x14ac:dyDescent="0.4">
      <c r="A68" s="42" t="s">
        <v>548</v>
      </c>
      <c r="B68" s="41" t="s">
        <v>549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550</v>
      </c>
      <c r="B69" s="41" t="s">
        <v>551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552</v>
      </c>
      <c r="B70" s="41" t="s">
        <v>553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1">
        <v>1</v>
      </c>
    </row>
    <row r="71" spans="1:20" ht="15" customHeight="1" x14ac:dyDescent="0.4">
      <c r="A71" s="42" t="s">
        <v>554</v>
      </c>
      <c r="B71" s="41" t="s">
        <v>555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556</v>
      </c>
      <c r="B72" s="41" t="s">
        <v>557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2" t="s">
        <v>723</v>
      </c>
      <c r="B73" s="41" t="s">
        <v>724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1">
        <v>1</v>
      </c>
    </row>
    <row r="74" spans="1:20" ht="15" customHeight="1" x14ac:dyDescent="0.4">
      <c r="A74" s="37" t="s">
        <v>558</v>
      </c>
      <c r="B74" s="38" t="s">
        <v>559</v>
      </c>
      <c r="C74" s="39">
        <v>-107954603.23</v>
      </c>
      <c r="D74" s="39">
        <v>-146750359.09</v>
      </c>
      <c r="E74" s="39">
        <v>-1035989268.08</v>
      </c>
      <c r="F74" s="39">
        <v>-77451087.900000006</v>
      </c>
      <c r="G74" s="39">
        <v>-126067881.90000001</v>
      </c>
      <c r="H74" s="39">
        <v>-75023007.25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39">
        <v>-278541977.05000001</v>
      </c>
      <c r="S74" s="39">
        <v>-131791617.95999999</v>
      </c>
      <c r="T74" s="41">
        <v>2</v>
      </c>
    </row>
    <row r="75" spans="1:20" ht="15" customHeight="1" x14ac:dyDescent="0.4">
      <c r="A75" s="37" t="s">
        <v>560</v>
      </c>
      <c r="B75" s="38" t="s">
        <v>561</v>
      </c>
      <c r="C75" s="39">
        <v>118280888.93000001</v>
      </c>
      <c r="D75" s="39">
        <v>367847932.52999997</v>
      </c>
      <c r="E75" s="39">
        <v>1990954656.22</v>
      </c>
      <c r="F75" s="39">
        <v>41932933.560000002</v>
      </c>
      <c r="G75" s="39">
        <v>112892073.31999999</v>
      </c>
      <c r="H75" s="39">
        <v>59713166.869999997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39">
        <v>214538173.75</v>
      </c>
      <c r="S75" s="39">
        <v>-153309758.78</v>
      </c>
      <c r="T75" s="41">
        <v>2</v>
      </c>
    </row>
    <row r="76" spans="1:20" ht="15" customHeight="1" x14ac:dyDescent="0.4">
      <c r="A76" s="42" t="s">
        <v>562</v>
      </c>
      <c r="B76" s="41" t="s">
        <v>563</v>
      </c>
      <c r="C76" s="44">
        <v>0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1">
        <v>1</v>
      </c>
    </row>
    <row r="77" spans="1:20" ht="15" customHeight="1" x14ac:dyDescent="0.4">
      <c r="A77" s="42" t="s">
        <v>564</v>
      </c>
      <c r="B77" s="41" t="s">
        <v>565</v>
      </c>
      <c r="C77" s="44">
        <v>0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1">
        <v>1</v>
      </c>
    </row>
    <row r="78" spans="1:20" ht="15" customHeight="1" x14ac:dyDescent="0.4">
      <c r="A78" s="42" t="s">
        <v>566</v>
      </c>
      <c r="B78" s="41" t="s">
        <v>567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568</v>
      </c>
      <c r="B79" s="41" t="s">
        <v>569</v>
      </c>
      <c r="C79" s="43">
        <v>261500</v>
      </c>
      <c r="D79" s="43">
        <v>2742629.46</v>
      </c>
      <c r="E79" s="43">
        <v>4128175.06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3">
        <v>-2742629.46</v>
      </c>
      <c r="T79" s="41">
        <v>1</v>
      </c>
    </row>
    <row r="80" spans="1:20" ht="15" customHeight="1" x14ac:dyDescent="0.4">
      <c r="A80" s="42" t="s">
        <v>570</v>
      </c>
      <c r="B80" s="41" t="s">
        <v>571</v>
      </c>
      <c r="C80" s="43">
        <v>117418463.33</v>
      </c>
      <c r="D80" s="43">
        <v>363584253.47000003</v>
      </c>
      <c r="E80" s="43">
        <v>1934514953.79</v>
      </c>
      <c r="F80" s="43">
        <v>41932933.560000002</v>
      </c>
      <c r="G80" s="43">
        <v>108028775.23</v>
      </c>
      <c r="H80" s="43">
        <v>59278160.280000001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3">
        <v>209239869.06999999</v>
      </c>
      <c r="S80" s="43">
        <v>-154344384.40000001</v>
      </c>
      <c r="T80" s="41">
        <v>1</v>
      </c>
    </row>
    <row r="81" spans="1:20" ht="15" customHeight="1" x14ac:dyDescent="0.4">
      <c r="A81" s="42" t="s">
        <v>572</v>
      </c>
      <c r="B81" s="41" t="s">
        <v>573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0" ht="15" customHeight="1" x14ac:dyDescent="0.4">
      <c r="A82" s="42" t="s">
        <v>574</v>
      </c>
      <c r="B82" s="41" t="s">
        <v>575</v>
      </c>
      <c r="C82" s="44">
        <v>0</v>
      </c>
      <c r="D82" s="44">
        <v>0</v>
      </c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1">
        <v>1</v>
      </c>
    </row>
    <row r="83" spans="1:20" ht="15" customHeight="1" x14ac:dyDescent="0.4">
      <c r="A83" s="42" t="s">
        <v>576</v>
      </c>
      <c r="B83" s="41" t="s">
        <v>577</v>
      </c>
      <c r="C83" s="44">
        <v>0</v>
      </c>
      <c r="D83" s="44">
        <v>0</v>
      </c>
      <c r="E83" s="44">
        <v>0</v>
      </c>
      <c r="F83" s="44">
        <v>0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1">
        <v>1</v>
      </c>
    </row>
    <row r="84" spans="1:20" ht="15" customHeight="1" x14ac:dyDescent="0.4">
      <c r="A84" s="42" t="s">
        <v>578</v>
      </c>
      <c r="B84" s="41" t="s">
        <v>579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</row>
    <row r="85" spans="1:20" ht="15" customHeight="1" x14ac:dyDescent="0.4">
      <c r="A85" s="42" t="s">
        <v>580</v>
      </c>
      <c r="B85" s="41" t="s">
        <v>581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</row>
    <row r="86" spans="1:20" ht="15" customHeight="1" x14ac:dyDescent="0.4">
      <c r="A86" s="42" t="s">
        <v>582</v>
      </c>
      <c r="B86" s="41" t="s">
        <v>583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0" ht="15" customHeight="1" x14ac:dyDescent="0.4">
      <c r="A87" s="42" t="s">
        <v>584</v>
      </c>
      <c r="B87" s="41" t="s">
        <v>585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0" ht="15" customHeight="1" x14ac:dyDescent="0.4">
      <c r="A88" s="42" t="s">
        <v>586</v>
      </c>
      <c r="B88" s="41" t="s">
        <v>587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0" ht="15" customHeight="1" x14ac:dyDescent="0.4">
      <c r="A89" s="42" t="s">
        <v>588</v>
      </c>
      <c r="B89" s="41" t="s">
        <v>589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0" ht="15" customHeight="1" x14ac:dyDescent="0.4">
      <c r="A90" s="42" t="s">
        <v>590</v>
      </c>
      <c r="B90" s="41" t="s">
        <v>591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0" ht="15" customHeight="1" x14ac:dyDescent="0.4">
      <c r="A91" s="42" t="s">
        <v>592</v>
      </c>
      <c r="B91" s="41" t="s">
        <v>593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0" ht="15" customHeight="1" x14ac:dyDescent="0.4">
      <c r="A92" s="42" t="s">
        <v>594</v>
      </c>
      <c r="B92" s="41" t="s">
        <v>595</v>
      </c>
      <c r="C92" s="44">
        <v>0</v>
      </c>
      <c r="D92" s="44">
        <v>0</v>
      </c>
      <c r="E92" s="43">
        <v>762500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0" ht="15" customHeight="1" x14ac:dyDescent="0.4">
      <c r="A93" s="42" t="s">
        <v>596</v>
      </c>
      <c r="B93" s="41" t="s">
        <v>597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0" ht="15" customHeight="1" x14ac:dyDescent="0.4">
      <c r="A94" s="42" t="s">
        <v>598</v>
      </c>
      <c r="B94" s="41" t="s">
        <v>599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1">
        <v>1</v>
      </c>
    </row>
    <row r="95" spans="1:20" ht="15" customHeight="1" x14ac:dyDescent="0.4">
      <c r="A95" s="42" t="s">
        <v>600</v>
      </c>
      <c r="B95" s="41" t="s">
        <v>601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1">
        <v>1</v>
      </c>
    </row>
    <row r="96" spans="1:20" ht="15" customHeight="1" x14ac:dyDescent="0.4">
      <c r="A96" s="42" t="s">
        <v>602</v>
      </c>
      <c r="B96" s="41" t="s">
        <v>603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604</v>
      </c>
      <c r="B97" s="41" t="s">
        <v>605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606</v>
      </c>
      <c r="B98" s="41" t="s">
        <v>607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42" t="s">
        <v>608</v>
      </c>
      <c r="B99" s="41" t="s">
        <v>609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1">
        <v>1</v>
      </c>
    </row>
    <row r="100" spans="1:20" ht="15" customHeight="1" x14ac:dyDescent="0.4">
      <c r="A100" s="42" t="s">
        <v>610</v>
      </c>
      <c r="B100" s="41" t="s">
        <v>611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612</v>
      </c>
      <c r="B101" s="41" t="s">
        <v>613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614</v>
      </c>
      <c r="B102" s="41" t="s">
        <v>615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616</v>
      </c>
      <c r="B103" s="41" t="s">
        <v>617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618</v>
      </c>
      <c r="B104" s="41" t="s">
        <v>619</v>
      </c>
      <c r="C104" s="44">
        <v>0</v>
      </c>
      <c r="D104" s="44">
        <v>0</v>
      </c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1">
        <v>1</v>
      </c>
    </row>
    <row r="105" spans="1:20" ht="15" customHeight="1" x14ac:dyDescent="0.4">
      <c r="A105" s="42" t="s">
        <v>620</v>
      </c>
      <c r="B105" s="41" t="s">
        <v>621</v>
      </c>
      <c r="C105" s="43">
        <v>600925.6</v>
      </c>
      <c r="D105" s="43">
        <v>1521049.6000000001</v>
      </c>
      <c r="E105" s="43">
        <v>51549027.369999997</v>
      </c>
      <c r="F105" s="44">
        <v>0</v>
      </c>
      <c r="G105" s="43">
        <v>4863298.09</v>
      </c>
      <c r="H105" s="43">
        <v>435006.59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3">
        <v>5298304.68</v>
      </c>
      <c r="S105" s="43">
        <v>3777255.08</v>
      </c>
      <c r="T105" s="41">
        <v>1</v>
      </c>
    </row>
    <row r="106" spans="1:20" ht="15" customHeight="1" x14ac:dyDescent="0.4">
      <c r="A106" s="42" t="s">
        <v>622</v>
      </c>
      <c r="B106" s="41" t="s">
        <v>623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1">
        <v>1</v>
      </c>
    </row>
    <row r="107" spans="1:20" ht="15" customHeight="1" x14ac:dyDescent="0.4">
      <c r="A107" s="42" t="s">
        <v>624</v>
      </c>
      <c r="B107" s="41" t="s">
        <v>355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625</v>
      </c>
      <c r="B108" s="41" t="s">
        <v>626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37" t="s">
        <v>627</v>
      </c>
      <c r="B109" s="38" t="s">
        <v>628</v>
      </c>
      <c r="C109" s="39">
        <v>132580740.95</v>
      </c>
      <c r="D109" s="39">
        <v>246114365.75</v>
      </c>
      <c r="E109" s="39">
        <v>1865931901.0599999</v>
      </c>
      <c r="F109" s="39">
        <v>38189749.979999997</v>
      </c>
      <c r="G109" s="39">
        <v>90152802.849999994</v>
      </c>
      <c r="H109" s="39">
        <v>-39240993.609999999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39">
        <v>89101559.219999999</v>
      </c>
      <c r="S109" s="39">
        <v>-157012806.53</v>
      </c>
      <c r="T109" s="41">
        <v>2</v>
      </c>
    </row>
    <row r="110" spans="1:20" ht="15" customHeight="1" x14ac:dyDescent="0.4">
      <c r="A110" s="42" t="s">
        <v>629</v>
      </c>
      <c r="B110" s="41" t="s">
        <v>630</v>
      </c>
      <c r="C110" s="44">
        <v>0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1">
        <v>1</v>
      </c>
    </row>
    <row r="111" spans="1:20" ht="15" customHeight="1" x14ac:dyDescent="0.4">
      <c r="A111" s="42" t="s">
        <v>631</v>
      </c>
      <c r="B111" s="41" t="s">
        <v>632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1">
        <v>1</v>
      </c>
    </row>
    <row r="112" spans="1:20" ht="15" customHeight="1" x14ac:dyDescent="0.4">
      <c r="A112" s="42" t="s">
        <v>633</v>
      </c>
      <c r="B112" s="41" t="s">
        <v>634</v>
      </c>
      <c r="C112" s="43">
        <v>271230.90999999997</v>
      </c>
      <c r="D112" s="43">
        <v>1590730.91</v>
      </c>
      <c r="E112" s="43">
        <v>7378583.0499999998</v>
      </c>
      <c r="F112" s="43">
        <v>61477.91</v>
      </c>
      <c r="G112" s="43">
        <v>1443498.24</v>
      </c>
      <c r="H112" s="43">
        <v>1069000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3">
        <v>2573976.15</v>
      </c>
      <c r="S112" s="43">
        <v>983245.24</v>
      </c>
      <c r="T112" s="41">
        <v>1</v>
      </c>
    </row>
    <row r="113" spans="1:20" ht="15" customHeight="1" x14ac:dyDescent="0.4">
      <c r="A113" s="42" t="s">
        <v>635</v>
      </c>
      <c r="B113" s="41" t="s">
        <v>636</v>
      </c>
      <c r="C113" s="43">
        <v>132273938.40000001</v>
      </c>
      <c r="D113" s="43">
        <v>244240524.00999999</v>
      </c>
      <c r="E113" s="43">
        <v>1834790230.45</v>
      </c>
      <c r="F113" s="43">
        <v>33655547.07</v>
      </c>
      <c r="G113" s="43">
        <v>86106388.609999999</v>
      </c>
      <c r="H113" s="43">
        <v>-36934055.159999996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3">
        <v>82827880.519999996</v>
      </c>
      <c r="S113" s="43">
        <v>-161412643.49000001</v>
      </c>
      <c r="T113" s="41">
        <v>1</v>
      </c>
    </row>
    <row r="114" spans="1:20" ht="15" customHeight="1" x14ac:dyDescent="0.4">
      <c r="A114" s="42" t="s">
        <v>637</v>
      </c>
      <c r="B114" s="41" t="s">
        <v>638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1">
        <v>1</v>
      </c>
    </row>
    <row r="115" spans="1:20" ht="15" customHeight="1" x14ac:dyDescent="0.4">
      <c r="A115" s="42" t="s">
        <v>639</v>
      </c>
      <c r="B115" s="41" t="s">
        <v>640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641</v>
      </c>
      <c r="B116" s="41" t="s">
        <v>642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643</v>
      </c>
      <c r="B117" s="41" t="s">
        <v>644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645</v>
      </c>
      <c r="B118" s="41" t="s">
        <v>646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647</v>
      </c>
      <c r="B119" s="41" t="s">
        <v>648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649</v>
      </c>
      <c r="B120" s="41" t="s">
        <v>650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651</v>
      </c>
      <c r="B121" s="41" t="s">
        <v>652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653</v>
      </c>
      <c r="B122" s="41" t="s">
        <v>654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655</v>
      </c>
      <c r="B123" s="41" t="s">
        <v>656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657</v>
      </c>
      <c r="B124" s="41" t="s">
        <v>658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1">
        <v>1</v>
      </c>
    </row>
    <row r="125" spans="1:20" ht="15" customHeight="1" x14ac:dyDescent="0.4">
      <c r="A125" s="42" t="s">
        <v>659</v>
      </c>
      <c r="B125" s="41" t="s">
        <v>660</v>
      </c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1">
        <v>1</v>
      </c>
    </row>
    <row r="126" spans="1:20" ht="15" customHeight="1" x14ac:dyDescent="0.4">
      <c r="A126" s="42" t="s">
        <v>661</v>
      </c>
      <c r="B126" s="41" t="s">
        <v>662</v>
      </c>
      <c r="C126" s="44">
        <v>0</v>
      </c>
      <c r="D126" s="44">
        <v>0</v>
      </c>
      <c r="E126" s="43">
        <v>701100.27</v>
      </c>
      <c r="F126" s="44">
        <v>0</v>
      </c>
      <c r="G126" s="44">
        <v>0</v>
      </c>
      <c r="H126" s="43">
        <v>3699702.55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3">
        <v>3699702.55</v>
      </c>
      <c r="S126" s="43">
        <v>3699702.55</v>
      </c>
      <c r="T126" s="41">
        <v>1</v>
      </c>
    </row>
    <row r="127" spans="1:20" ht="15" customHeight="1" x14ac:dyDescent="0.4">
      <c r="A127" s="42" t="s">
        <v>663</v>
      </c>
      <c r="B127" s="41" t="s">
        <v>664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1">
        <v>1</v>
      </c>
    </row>
    <row r="128" spans="1:20" ht="15" customHeight="1" x14ac:dyDescent="0.4">
      <c r="A128" s="42" t="s">
        <v>665</v>
      </c>
      <c r="B128" s="41" t="s">
        <v>666</v>
      </c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1">
        <v>1</v>
      </c>
    </row>
    <row r="129" spans="1:20" ht="15" customHeight="1" x14ac:dyDescent="0.4">
      <c r="A129" s="42" t="s">
        <v>667</v>
      </c>
      <c r="B129" s="41" t="s">
        <v>668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1">
        <v>1</v>
      </c>
    </row>
    <row r="130" spans="1:20" ht="15" customHeight="1" x14ac:dyDescent="0.4">
      <c r="A130" s="42" t="s">
        <v>669</v>
      </c>
      <c r="B130" s="41" t="s">
        <v>670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671</v>
      </c>
      <c r="B131" s="41" t="s">
        <v>672</v>
      </c>
      <c r="C131" s="44">
        <v>0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1">
        <v>1</v>
      </c>
    </row>
    <row r="132" spans="1:20" ht="15" customHeight="1" x14ac:dyDescent="0.4">
      <c r="A132" s="42" t="s">
        <v>673</v>
      </c>
      <c r="B132" s="41" t="s">
        <v>674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675</v>
      </c>
      <c r="B133" s="41" t="s">
        <v>676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677</v>
      </c>
      <c r="B134" s="41" t="s">
        <v>678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679</v>
      </c>
      <c r="B135" s="41" t="s">
        <v>680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681</v>
      </c>
      <c r="B136" s="41" t="s">
        <v>682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683</v>
      </c>
      <c r="B137" s="41" t="s">
        <v>684</v>
      </c>
      <c r="C137" s="43">
        <v>35571.64</v>
      </c>
      <c r="D137" s="43">
        <v>283110.83</v>
      </c>
      <c r="E137" s="43">
        <v>23061987.289999999</v>
      </c>
      <c r="F137" s="43">
        <v>4472725</v>
      </c>
      <c r="G137" s="43">
        <v>2602916</v>
      </c>
      <c r="H137" s="43">
        <v>-7075641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3">
        <v>-283110.83</v>
      </c>
      <c r="T137" s="41">
        <v>1</v>
      </c>
    </row>
    <row r="138" spans="1:20" ht="15" customHeight="1" x14ac:dyDescent="0.4">
      <c r="A138" s="42" t="s">
        <v>685</v>
      </c>
      <c r="B138" s="41" t="s">
        <v>686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687</v>
      </c>
      <c r="B139" s="41" t="s">
        <v>688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1">
        <v>1</v>
      </c>
    </row>
    <row r="140" spans="1:20" ht="15" customHeight="1" x14ac:dyDescent="0.4">
      <c r="A140" s="42" t="s">
        <v>689</v>
      </c>
      <c r="B140" s="41" t="s">
        <v>690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725</v>
      </c>
      <c r="B141" s="41" t="s">
        <v>726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1">
        <v>1</v>
      </c>
    </row>
    <row r="142" spans="1:20" ht="15" customHeight="1" x14ac:dyDescent="0.4">
      <c r="A142" s="37" t="s">
        <v>691</v>
      </c>
      <c r="B142" s="38" t="s">
        <v>692</v>
      </c>
      <c r="C142" s="39">
        <v>-122254455.25</v>
      </c>
      <c r="D142" s="39">
        <v>-25016792.309999999</v>
      </c>
      <c r="E142" s="39">
        <v>-910966512.91999996</v>
      </c>
      <c r="F142" s="39">
        <v>-73707904.319999993</v>
      </c>
      <c r="G142" s="39">
        <v>-103328611.43000001</v>
      </c>
      <c r="H142" s="39">
        <v>23931153.23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39">
        <v>-153105362.52000001</v>
      </c>
      <c r="S142" s="39">
        <v>-128088570.20999999</v>
      </c>
      <c r="T142" s="41">
        <v>2</v>
      </c>
    </row>
    <row r="143" spans="1:20" ht="15" customHeight="1" x14ac:dyDescent="0.4">
      <c r="A143" s="37" t="s">
        <v>693</v>
      </c>
      <c r="B143" s="38" t="s">
        <v>694</v>
      </c>
      <c r="C143" s="39">
        <v>4598930</v>
      </c>
      <c r="D143" s="39">
        <v>13796790</v>
      </c>
      <c r="E143" s="39">
        <v>13796790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39">
        <v>-13796790</v>
      </c>
      <c r="T143" s="41">
        <v>2</v>
      </c>
    </row>
    <row r="144" spans="1:20" ht="15" customHeight="1" x14ac:dyDescent="0.4">
      <c r="A144" s="42" t="s">
        <v>695</v>
      </c>
      <c r="B144" s="41" t="s">
        <v>694</v>
      </c>
      <c r="C144" s="43">
        <v>4598930</v>
      </c>
      <c r="D144" s="43">
        <v>13796790</v>
      </c>
      <c r="E144" s="43">
        <v>13796790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3">
        <v>-13796790</v>
      </c>
      <c r="T144" s="41">
        <v>1</v>
      </c>
    </row>
    <row r="145" spans="1:20" ht="15" customHeight="1" x14ac:dyDescent="0.4">
      <c r="A145" s="37" t="s">
        <v>696</v>
      </c>
      <c r="B145" s="38" t="s">
        <v>697</v>
      </c>
      <c r="C145" s="39">
        <v>-126853385.25</v>
      </c>
      <c r="D145" s="39">
        <v>-38813582.310000002</v>
      </c>
      <c r="E145" s="39">
        <v>-924763302.91999996</v>
      </c>
      <c r="F145" s="39">
        <v>-73707904.319999993</v>
      </c>
      <c r="G145" s="39">
        <v>-103328611.43000001</v>
      </c>
      <c r="H145" s="39">
        <v>23931153.23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39">
        <v>-153105362.52000001</v>
      </c>
      <c r="S145" s="39">
        <v>-114291780.20999999</v>
      </c>
      <c r="T145" s="41">
        <v>2</v>
      </c>
    </row>
    <row r="146" spans="1:20" ht="15" customHeight="1" x14ac:dyDescent="0.4">
      <c r="A146" s="42" t="s">
        <v>698</v>
      </c>
      <c r="B146" s="41" t="s">
        <v>699</v>
      </c>
      <c r="C146" s="43">
        <v>-126853385.25</v>
      </c>
      <c r="D146" s="43">
        <v>-38813582.310000002</v>
      </c>
      <c r="E146" s="43">
        <v>-924763302.91999996</v>
      </c>
      <c r="F146" s="43">
        <v>-73707904.319999993</v>
      </c>
      <c r="G146" s="43">
        <v>-103328611.43000001</v>
      </c>
      <c r="H146" s="43">
        <v>23931153.23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3">
        <v>-153105362.52000001</v>
      </c>
      <c r="S146" s="43">
        <v>-114291780.20999999</v>
      </c>
      <c r="T146" s="41">
        <v>1</v>
      </c>
    </row>
    <row r="147" spans="1:20" ht="15" customHeight="1" x14ac:dyDescent="0.4">
      <c r="A147" s="42" t="s">
        <v>700</v>
      </c>
      <c r="B147" s="41" t="s">
        <v>701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</sheetData>
  <phoneticPr fontId="3" type="noConversion"/>
  <dataValidations count="2">
    <dataValidation type="decimal" allowBlank="1" showInputMessage="1" showErrorMessage="1" error="The value entered exceeded the allowed range." sqref="C148:S1048576" xr:uid="{518F053A-BB28-405D-82A0-ABB4C4055A98}"/>
    <dataValidation type="textLength" allowBlank="1" showInputMessage="1" showErrorMessage="1" error="The number of entered characters exceeds the maximum number of allowed characters." sqref="A148:B1048576" xr:uid="{A2E4C89D-044D-4A82-8125-4214003A1D4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월 비교</vt:lpstr>
      <vt:lpstr>년 비교</vt:lpstr>
      <vt:lpstr>BS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이장욱/재경총괄본부/차장</dc:creator>
  <cp:lastModifiedBy>김예지/재경총괄본부/과장</cp:lastModifiedBy>
  <dcterms:created xsi:type="dcterms:W3CDTF">2025-10-15T09:24:13Z</dcterms:created>
  <dcterms:modified xsi:type="dcterms:W3CDTF">2026-04-15T08:31:15Z</dcterms:modified>
</cp:coreProperties>
</file>